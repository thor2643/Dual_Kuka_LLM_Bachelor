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08"/>
  <workbookPr/>
  <xr:revisionPtr revIDLastSave="2478" documentId="11_9C5455BF84DCCE936262E6F99831F45BBA780A8F" xr6:coauthVersionLast="47" xr6:coauthVersionMax="47" xr10:uidLastSave="{59E1D110-A4D3-4C05-8A3D-6900898A6964}"/>
  <bookViews>
    <workbookView xWindow="240" yWindow="105" windowWidth="14805" windowHeight="8010" firstSheet="1" xr2:uid="{00000000-000D-0000-FFFF-FFFF00000000}"/>
  </bookViews>
  <sheets>
    <sheet name="NormalPlane - Right" sheetId="1" r:id="rId1"/>
    <sheet name="NormalPlane - Left" sheetId="2" r:id="rId2"/>
    <sheet name="NeuralNetwork - Lef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3" i="2" l="1"/>
  <c r="I43" i="2"/>
  <c r="I43" i="1"/>
  <c r="F43" i="1"/>
</calcChain>
</file>

<file path=xl/sharedStrings.xml><?xml version="1.0" encoding="utf-8"?>
<sst xmlns="http://schemas.openxmlformats.org/spreadsheetml/2006/main" count="589" uniqueCount="165">
  <si>
    <t>Obj / Measure</t>
  </si>
  <si>
    <t>Success?</t>
  </si>
  <si>
    <t>Grasp Evaluation</t>
  </si>
  <si>
    <t>YOLO Detected?</t>
  </si>
  <si>
    <t>YOLO Class</t>
  </si>
  <si>
    <t>YOLO Conf</t>
  </si>
  <si>
    <t>Encountered Error</t>
  </si>
  <si>
    <t>Error Cause</t>
  </si>
  <si>
    <t>Time</t>
  </si>
  <si>
    <t>Grasps Found</t>
  </si>
  <si>
    <t>Comments from Test:</t>
  </si>
  <si>
    <t>True / False</t>
  </si>
  <si>
    <t>Poor / Decent / Good</t>
  </si>
  <si>
    <t>Class name</t>
  </si>
  <si>
    <t>0 -&gt; 1</t>
  </si>
  <si>
    <t>String</t>
  </si>
  <si>
    <t>Sec</t>
  </si>
  <si>
    <t>1 or 2</t>
  </si>
  <si>
    <t>Mouse</t>
  </si>
  <si>
    <t>Good</t>
  </si>
  <si>
    <t>Hammer</t>
  </si>
  <si>
    <t>Decent</t>
  </si>
  <si>
    <t>hammer head to heavy so not steady grasp</t>
  </si>
  <si>
    <t>Duct Tape</t>
  </si>
  <si>
    <t>Gripper to wide for grasp, see image.</t>
  </si>
  <si>
    <t>Marker</t>
  </si>
  <si>
    <t>Increased height, due to collision</t>
  </si>
  <si>
    <t>Canned Drink</t>
  </si>
  <si>
    <t>Squezed the can</t>
  </si>
  <si>
    <t>0.94</t>
  </si>
  <si>
    <t>Robot could not plan to approch point</t>
  </si>
  <si>
    <t>1.24</t>
  </si>
  <si>
    <t>* It was found that, the implementation of approch points, made it difficulte for the system to use general grasps, as the robot has to manouver far back, write about this in the discussion.</t>
  </si>
  <si>
    <t>Duplo Brick</t>
  </si>
  <si>
    <t>Slight collision with table, but success</t>
  </si>
  <si>
    <t>* Slight collision with table, but success</t>
  </si>
  <si>
    <t>Stapler</t>
  </si>
  <si>
    <t>Scissors</t>
  </si>
  <si>
    <t>Increased height, due to pointcloud inaccurcy (negative z-values)</t>
  </si>
  <si>
    <t>Mug</t>
  </si>
  <si>
    <t>Rubber Duck</t>
  </si>
  <si>
    <t>Bottle</t>
  </si>
  <si>
    <t>0.90</t>
  </si>
  <si>
    <t>Hit the bottle during reconfiguration</t>
  </si>
  <si>
    <t>1.29</t>
  </si>
  <si>
    <t>* Once agin the issue emerged that the system is either capable of grasping with general or top grasp but never both.</t>
  </si>
  <si>
    <t>Keys</t>
  </si>
  <si>
    <t>Stuffed Toy</t>
  </si>
  <si>
    <t>* If the grasp is between decent &amp; poor, we lift the object to see if it keeps hold</t>
  </si>
  <si>
    <t>0.73</t>
  </si>
  <si>
    <t>Closed above the sharks head?</t>
  </si>
  <si>
    <t>8.28</t>
  </si>
  <si>
    <t>Screwdriver</t>
  </si>
  <si>
    <t>Wire</t>
  </si>
  <si>
    <t>Bowl</t>
  </si>
  <si>
    <t>Poor (Lost grip due to shape)</t>
  </si>
  <si>
    <t>Sponge</t>
  </si>
  <si>
    <t>Jar</t>
  </si>
  <si>
    <t>Clothes Peg</t>
  </si>
  <si>
    <t>Circuit Board</t>
  </si>
  <si>
    <t>PS3 Controller</t>
  </si>
  <si>
    <t>Flashlight</t>
  </si>
  <si>
    <t>Battery Pack</t>
  </si>
  <si>
    <t>Banana</t>
  </si>
  <si>
    <t>D435i Mount</t>
  </si>
  <si>
    <t>Whistle</t>
  </si>
  <si>
    <t>Spatula</t>
  </si>
  <si>
    <t>* Sent the object flying due to poor grasp location.</t>
  </si>
  <si>
    <t>Wine Opener</t>
  </si>
  <si>
    <t>Poor</t>
  </si>
  <si>
    <t>* The grasp placement made it hard for it to get a hold but it grasped it shortly then dropped it when moving</t>
  </si>
  <si>
    <t>Translucent Box</t>
  </si>
  <si>
    <t>Toothbrush</t>
  </si>
  <si>
    <t>Fruit</t>
  </si>
  <si>
    <t>Spoon</t>
  </si>
  <si>
    <t>Remote Control</t>
  </si>
  <si>
    <t>Remote</t>
  </si>
  <si>
    <t>RealSense Box</t>
  </si>
  <si>
    <t>* Algoritm placed grasp with fingers colliding with box.</t>
  </si>
  <si>
    <t>Die</t>
  </si>
  <si>
    <t>Triangle</t>
  </si>
  <si>
    <t>Glasses</t>
  </si>
  <si>
    <t>Ball</t>
  </si>
  <si>
    <t>Arduino</t>
  </si>
  <si>
    <t>Clip</t>
  </si>
  <si>
    <t>Grasp was performed away from handle</t>
  </si>
  <si>
    <t>1.13</t>
  </si>
  <si>
    <t>* Error seemed to occour due to point cloud data.</t>
  </si>
  <si>
    <t>* Note that this did not collide with the table, unlike 3F</t>
  </si>
  <si>
    <t>Bad grasp location</t>
  </si>
  <si>
    <t>0.86</t>
  </si>
  <si>
    <t>Failed grasp due to gripper width</t>
  </si>
  <si>
    <t>0.43</t>
  </si>
  <si>
    <t>Grasped objects but stoped closing to early, lost grasp on way up</t>
  </si>
  <si>
    <t>* Agressive projections and gripper force to low/stopped to early</t>
  </si>
  <si>
    <t>0.89</t>
  </si>
  <si>
    <t>* Approch point incorrect, likely due to pointcloud or planning error</t>
  </si>
  <si>
    <t>1.31</t>
  </si>
  <si>
    <t>Failed due to keys not being clumped hard enough</t>
  </si>
  <si>
    <t>0.78</t>
  </si>
  <si>
    <t>8.23</t>
  </si>
  <si>
    <t>Object slipped from grasp</t>
  </si>
  <si>
    <t>* Pointcloud error observed again, mention in discussion (-z values)</t>
  </si>
  <si>
    <t>0.44</t>
  </si>
  <si>
    <t>Object was not grasped due to width of gripper</t>
  </si>
  <si>
    <t>0.11</t>
  </si>
  <si>
    <t>Object slipped from grasp, due to low force and bad placement of center</t>
  </si>
  <si>
    <t>Object slipped from grasp, due to low force</t>
  </si>
  <si>
    <t>Poor location for grasping choosen by algoritm</t>
  </si>
  <si>
    <t>Object slipped from grasp, due to low grasp width.</t>
  </si>
  <si>
    <t>0.42</t>
  </si>
  <si>
    <t>Motion planning failed</t>
  </si>
  <si>
    <t>0.33</t>
  </si>
  <si>
    <t>Object slipped from grasp, due to poor grasp location, and gripper force/grasping s</t>
  </si>
  <si>
    <t>1.14</t>
  </si>
  <si>
    <t>* Bad Grasp Candidate</t>
  </si>
  <si>
    <t>* Janise changed the grasp location / orientation when the original failed.</t>
  </si>
  <si>
    <t>* Side camera position</t>
  </si>
  <si>
    <t>0.23</t>
  </si>
  <si>
    <t>Bad grasp</t>
  </si>
  <si>
    <t>1.39</t>
  </si>
  <si>
    <t>* All the issues from planning have the 2F gripper to close to the table, which cause the motion planner to fail</t>
  </si>
  <si>
    <t>1.34</t>
  </si>
  <si>
    <t>Hit corner of duct tape, causing gripper to stop closing to early.</t>
  </si>
  <si>
    <t>1.37</t>
  </si>
  <si>
    <t>0.39</t>
  </si>
  <si>
    <t>GraspNet failed to generate a grasp candidate</t>
  </si>
  <si>
    <t>1.35</t>
  </si>
  <si>
    <t>0.91</t>
  </si>
  <si>
    <t>5.37</t>
  </si>
  <si>
    <t>1.30</t>
  </si>
  <si>
    <t>Failed to get close enough to object before closing</t>
  </si>
  <si>
    <t>0.95</t>
  </si>
  <si>
    <t>Failed to plan to target location</t>
  </si>
  <si>
    <t>0.27</t>
  </si>
  <si>
    <t>1.50</t>
  </si>
  <si>
    <t>0.67</t>
  </si>
  <si>
    <t>0.87</t>
  </si>
  <si>
    <t>5.52</t>
  </si>
  <si>
    <t>0.21</t>
  </si>
  <si>
    <t>1.67</t>
  </si>
  <si>
    <t>0.24</t>
  </si>
  <si>
    <t>1.54</t>
  </si>
  <si>
    <t>Gripper did not close with enough force to keep bowl.</t>
  </si>
  <si>
    <t>1.43</t>
  </si>
  <si>
    <t>1.42</t>
  </si>
  <si>
    <t>Bad grasp - too close to the table</t>
  </si>
  <si>
    <t>1.36</t>
  </si>
  <si>
    <t>Bad grasp, missed? (Pointcloud)</t>
  </si>
  <si>
    <t>0.46</t>
  </si>
  <si>
    <t>1.33</t>
  </si>
  <si>
    <t>* At this point, it was noticed that the angle of the camera and position of the object heavly affect the grasp</t>
  </si>
  <si>
    <t>1.28</t>
  </si>
  <si>
    <t>1.48</t>
  </si>
  <si>
    <t>Knocked over the wine opener :(</t>
  </si>
  <si>
    <t>1.45</t>
  </si>
  <si>
    <t>5.40</t>
  </si>
  <si>
    <t>0.17</t>
  </si>
  <si>
    <t>1.32</t>
  </si>
  <si>
    <t>5.50</t>
  </si>
  <si>
    <t>Pushed the spoon due to grasp approch point</t>
  </si>
  <si>
    <t>0.59</t>
  </si>
  <si>
    <t>1.65</t>
  </si>
  <si>
    <t>5.81</t>
  </si>
  <si>
    <t>1.27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</si>
</sst>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
    <font>
      <sz val="11"/>
      <color theme="1"/>
      <name val="Aptos Narrow"/>
      <family val="2"/>
      <scheme val="minor"/>
    </font>
    <font>
      <sz val="11"/>
      <color rgb="FF000000"/>
      <name val="Aptos Narrow"/>
      <family val="2"/>
    </font>
  </fonts>
  <fills count="3">
    <fill>
      <patternFill patternType="none"/>
    </fill>
    <fill>
      <patternFill patternType="gray125"/>
    </fill>
    <fill>
      <patternFill patternType="solid">
        <fgColor theme="1"/>
        <bgColor indexed="64"/>
      </patternFill>
    </fill>
  </fills>
  <borders count="4">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8">
    <xf numFmtId="0" fontId="0" fillId="0" borderId="0" xfId="0"/>
    <xf numFmtId="0" fontId="0" fillId="2" borderId="1" xfId="0" applyFill="1" applyBorder="1"/>
    <xf numFmtId="0" fontId="0" fillId="0" borderId="1" xfId="0" applyBorder="1"/>
    <xf numFmtId="0" fontId="0" fillId="0" borderId="2" xfId="0" applyBorder="1"/>
    <xf numFmtId="0" fontId="0" fillId="0" borderId="3" xfId="0" applyBorder="1"/>
    <xf numFmtId="43" fontId="0" fillId="0" borderId="0" xfId="0" applyNumberFormat="1"/>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3"/>
  <sheetViews>
    <sheetView tabSelected="1" workbookViewId="0">
      <selection activeCell="H4" sqref="H4"/>
    </sheetView>
  </sheetViews>
  <sheetFormatPr defaultRowHeight="15"/>
  <cols>
    <col min="1" max="1" width="14.85546875" bestFit="1" customWidth="1"/>
    <col min="2" max="2" width="10.85546875" bestFit="1" customWidth="1"/>
    <col min="3" max="3" width="26" bestFit="1" customWidth="1"/>
    <col min="4" max="4" width="21.28515625" bestFit="1" customWidth="1"/>
    <col min="5" max="5" width="17.5703125" bestFit="1" customWidth="1"/>
    <col min="6" max="6" width="22.28515625" customWidth="1"/>
    <col min="7" max="7" width="16.85546875" bestFit="1" customWidth="1"/>
    <col min="8" max="8" width="57.85546875" bestFit="1" customWidth="1"/>
    <col min="9" max="9" width="11.140625" bestFit="1" customWidth="1"/>
    <col min="10" max="10" width="13" bestFit="1" customWidth="1"/>
    <col min="12" max="12" width="69.140625" bestFit="1" customWidth="1"/>
    <col min="13" max="13" width="10.85546875" bestFit="1" customWidth="1"/>
    <col min="14" max="14" width="19.140625" bestFit="1" customWidth="1"/>
    <col min="15" max="15" width="13" bestFit="1" customWidth="1"/>
    <col min="16" max="16" width="10.85546875" bestFit="1" customWidth="1"/>
    <col min="17" max="17" width="19.140625" bestFit="1" customWidth="1"/>
    <col min="18" max="18" width="15.42578125" bestFit="1" customWidth="1"/>
    <col min="19" max="19" width="12.85546875" bestFit="1" customWidth="1"/>
    <col min="20" max="20" width="10.5703125" bestFit="1" customWidth="1"/>
    <col min="21" max="21" width="16.85546875" bestFit="1" customWidth="1"/>
    <col min="22" max="22" width="34.140625" bestFit="1" customWidth="1"/>
    <col min="25" max="25" width="163.42578125" bestFit="1" customWidth="1"/>
  </cols>
  <sheetData>
    <row r="1" spans="1:26">
      <c r="A1" t="s">
        <v>0</v>
      </c>
      <c r="B1" t="s">
        <v>1</v>
      </c>
      <c r="C1" t="s">
        <v>2</v>
      </c>
      <c r="D1" t="s">
        <v>3</v>
      </c>
      <c r="E1" t="s">
        <v>4</v>
      </c>
      <c r="F1" t="s">
        <v>5</v>
      </c>
      <c r="G1" t="s">
        <v>6</v>
      </c>
      <c r="H1" t="s">
        <v>7</v>
      </c>
      <c r="I1" t="s">
        <v>8</v>
      </c>
      <c r="J1" t="s">
        <v>9</v>
      </c>
      <c r="L1" t="s">
        <v>10</v>
      </c>
      <c r="O1" t="s">
        <v>0</v>
      </c>
      <c r="P1" t="s">
        <v>1</v>
      </c>
      <c r="Q1" t="s">
        <v>2</v>
      </c>
      <c r="R1" t="s">
        <v>3</v>
      </c>
      <c r="S1" t="s">
        <v>4</v>
      </c>
      <c r="T1" t="s">
        <v>5</v>
      </c>
      <c r="U1" t="s">
        <v>6</v>
      </c>
      <c r="V1" t="s">
        <v>7</v>
      </c>
      <c r="W1" t="s">
        <v>8</v>
      </c>
    </row>
    <row r="2" spans="1:26">
      <c r="A2" s="1"/>
      <c r="B2" s="2" t="s">
        <v>11</v>
      </c>
      <c r="C2" s="2" t="s">
        <v>12</v>
      </c>
      <c r="D2" s="2" t="s">
        <v>11</v>
      </c>
      <c r="E2" s="2" t="s">
        <v>13</v>
      </c>
      <c r="F2" s="2" t="s">
        <v>14</v>
      </c>
      <c r="G2" s="2" t="s">
        <v>11</v>
      </c>
      <c r="H2" s="2" t="s">
        <v>15</v>
      </c>
      <c r="I2" t="s">
        <v>16</v>
      </c>
      <c r="J2" t="s">
        <v>17</v>
      </c>
      <c r="O2" s="1"/>
      <c r="P2" s="2" t="s">
        <v>11</v>
      </c>
      <c r="Q2" s="2" t="s">
        <v>12</v>
      </c>
      <c r="R2" s="2" t="s">
        <v>11</v>
      </c>
      <c r="S2" s="2" t="s">
        <v>13</v>
      </c>
      <c r="T2" s="2" t="s">
        <v>14</v>
      </c>
      <c r="U2" s="2" t="s">
        <v>11</v>
      </c>
      <c r="V2" s="2" t="s">
        <v>15</v>
      </c>
      <c r="W2" t="s">
        <v>16</v>
      </c>
    </row>
    <row r="3" spans="1:26">
      <c r="A3" s="3" t="s">
        <v>18</v>
      </c>
      <c r="B3" t="b">
        <v>1</v>
      </c>
      <c r="C3" t="s">
        <v>19</v>
      </c>
      <c r="D3" t="b">
        <v>1</v>
      </c>
      <c r="E3" t="s">
        <v>18</v>
      </c>
      <c r="F3">
        <v>0.96</v>
      </c>
      <c r="G3" t="b">
        <v>0</v>
      </c>
      <c r="I3" s="5">
        <v>0.53</v>
      </c>
      <c r="J3">
        <v>1</v>
      </c>
    </row>
    <row r="4" spans="1:26">
      <c r="A4" s="3" t="s">
        <v>20</v>
      </c>
      <c r="B4" t="b">
        <v>1</v>
      </c>
      <c r="C4" t="s">
        <v>21</v>
      </c>
      <c r="D4" t="b">
        <v>1</v>
      </c>
      <c r="E4" t="s">
        <v>20</v>
      </c>
      <c r="F4">
        <v>0.53</v>
      </c>
      <c r="G4" t="b">
        <v>0</v>
      </c>
      <c r="H4" t="s">
        <v>22</v>
      </c>
      <c r="I4" s="5">
        <v>0.56999999999999995</v>
      </c>
      <c r="J4">
        <v>1</v>
      </c>
    </row>
    <row r="5" spans="1:26">
      <c r="A5" s="3" t="s">
        <v>23</v>
      </c>
      <c r="B5" t="b">
        <v>0</v>
      </c>
      <c r="D5" t="b">
        <v>0</v>
      </c>
      <c r="G5" t="b">
        <v>1</v>
      </c>
      <c r="H5" t="s">
        <v>24</v>
      </c>
      <c r="I5" s="5">
        <v>1.39</v>
      </c>
      <c r="J5">
        <v>1</v>
      </c>
    </row>
    <row r="6" spans="1:26">
      <c r="A6" s="3" t="s">
        <v>25</v>
      </c>
      <c r="B6" t="b">
        <v>1</v>
      </c>
      <c r="C6" t="s">
        <v>19</v>
      </c>
      <c r="D6" t="b">
        <v>0</v>
      </c>
      <c r="G6" t="b">
        <v>1</v>
      </c>
      <c r="H6" t="s">
        <v>26</v>
      </c>
      <c r="I6" s="5">
        <v>0.23</v>
      </c>
      <c r="J6">
        <v>1</v>
      </c>
    </row>
    <row r="7" spans="1:26">
      <c r="A7" s="3" t="s">
        <v>27</v>
      </c>
      <c r="B7" t="b">
        <v>1</v>
      </c>
      <c r="C7" t="s">
        <v>19</v>
      </c>
      <c r="D7" t="b">
        <v>1</v>
      </c>
      <c r="E7" t="s">
        <v>27</v>
      </c>
      <c r="F7">
        <v>0.94</v>
      </c>
      <c r="G7" t="b">
        <v>0</v>
      </c>
      <c r="H7" t="s">
        <v>28</v>
      </c>
      <c r="I7" s="5">
        <v>1.24</v>
      </c>
      <c r="J7">
        <v>2</v>
      </c>
      <c r="O7" t="s">
        <v>27</v>
      </c>
      <c r="P7" t="b">
        <v>0</v>
      </c>
      <c r="R7" t="b">
        <v>1</v>
      </c>
      <c r="S7" t="s">
        <v>27</v>
      </c>
      <c r="T7" t="s">
        <v>29</v>
      </c>
      <c r="U7" t="b">
        <v>1</v>
      </c>
      <c r="V7" t="s">
        <v>30</v>
      </c>
      <c r="W7" t="s">
        <v>31</v>
      </c>
      <c r="Y7" t="s">
        <v>32</v>
      </c>
    </row>
    <row r="8" spans="1:26">
      <c r="A8" s="3" t="s">
        <v>33</v>
      </c>
      <c r="B8" t="b">
        <v>1</v>
      </c>
      <c r="C8" t="s">
        <v>19</v>
      </c>
      <c r="D8" t="b">
        <v>0</v>
      </c>
      <c r="G8" t="b">
        <v>0</v>
      </c>
      <c r="H8" t="s">
        <v>34</v>
      </c>
      <c r="I8" s="5">
        <v>0.25</v>
      </c>
      <c r="J8">
        <v>1</v>
      </c>
      <c r="L8" t="s">
        <v>35</v>
      </c>
    </row>
    <row r="9" spans="1:26">
      <c r="A9" s="3" t="s">
        <v>36</v>
      </c>
      <c r="B9" t="b">
        <v>1</v>
      </c>
      <c r="C9" t="s">
        <v>19</v>
      </c>
      <c r="D9" t="b">
        <v>1</v>
      </c>
      <c r="E9" t="s">
        <v>36</v>
      </c>
      <c r="F9">
        <v>0.32</v>
      </c>
      <c r="G9" t="b">
        <v>0</v>
      </c>
      <c r="I9" s="5">
        <v>0.63</v>
      </c>
      <c r="J9">
        <v>1</v>
      </c>
    </row>
    <row r="10" spans="1:26">
      <c r="A10" s="3" t="s">
        <v>37</v>
      </c>
      <c r="B10" t="b">
        <v>1</v>
      </c>
      <c r="C10" t="s">
        <v>19</v>
      </c>
      <c r="D10" t="b">
        <v>1</v>
      </c>
      <c r="E10" t="s">
        <v>37</v>
      </c>
      <c r="F10">
        <v>0.96</v>
      </c>
      <c r="G10" t="b">
        <v>1</v>
      </c>
      <c r="H10" t="s">
        <v>38</v>
      </c>
      <c r="I10" s="5">
        <v>0.45</v>
      </c>
      <c r="J10">
        <v>1</v>
      </c>
    </row>
    <row r="11" spans="1:26">
      <c r="A11" s="3" t="s">
        <v>39</v>
      </c>
      <c r="B11" t="b">
        <v>1</v>
      </c>
      <c r="C11" t="s">
        <v>19</v>
      </c>
      <c r="D11" t="b">
        <v>1</v>
      </c>
      <c r="E11" t="s">
        <v>39</v>
      </c>
      <c r="F11">
        <v>0.69</v>
      </c>
      <c r="G11" t="b">
        <v>0</v>
      </c>
      <c r="I11" s="5">
        <v>0.75</v>
      </c>
      <c r="J11">
        <v>1</v>
      </c>
    </row>
    <row r="12" spans="1:26">
      <c r="A12" s="3" t="s">
        <v>40</v>
      </c>
      <c r="B12" t="b">
        <v>1</v>
      </c>
      <c r="C12" t="s">
        <v>19</v>
      </c>
      <c r="D12" t="b">
        <v>1</v>
      </c>
      <c r="E12" t="s">
        <v>40</v>
      </c>
      <c r="F12">
        <v>0.41</v>
      </c>
      <c r="G12" t="b">
        <v>0</v>
      </c>
      <c r="I12" s="5">
        <v>0.45</v>
      </c>
      <c r="J12">
        <v>1</v>
      </c>
    </row>
    <row r="13" spans="1:26">
      <c r="A13" s="3" t="s">
        <v>41</v>
      </c>
      <c r="B13" t="b">
        <v>1</v>
      </c>
      <c r="C13" t="s">
        <v>19</v>
      </c>
      <c r="D13" t="b">
        <v>1</v>
      </c>
      <c r="E13" t="s">
        <v>41</v>
      </c>
      <c r="F13">
        <v>0.9</v>
      </c>
      <c r="G13" t="b">
        <v>0</v>
      </c>
      <c r="I13" s="5">
        <v>1.98</v>
      </c>
      <c r="J13">
        <v>2</v>
      </c>
      <c r="O13" t="s">
        <v>41</v>
      </c>
      <c r="P13" t="b">
        <v>0</v>
      </c>
      <c r="R13" t="b">
        <v>1</v>
      </c>
      <c r="S13" t="s">
        <v>41</v>
      </c>
      <c r="T13" t="s">
        <v>42</v>
      </c>
      <c r="U13" t="b">
        <v>1</v>
      </c>
      <c r="V13" t="s">
        <v>43</v>
      </c>
      <c r="W13" t="s">
        <v>44</v>
      </c>
      <c r="Y13" t="s">
        <v>45</v>
      </c>
    </row>
    <row r="14" spans="1:26">
      <c r="A14" s="3" t="s">
        <v>46</v>
      </c>
      <c r="B14" t="b">
        <v>1</v>
      </c>
      <c r="C14" t="s">
        <v>19</v>
      </c>
      <c r="D14" t="b">
        <v>0</v>
      </c>
      <c r="G14" t="b">
        <v>1</v>
      </c>
      <c r="H14" t="s">
        <v>26</v>
      </c>
      <c r="I14" s="5">
        <v>0.24</v>
      </c>
      <c r="J14">
        <v>1</v>
      </c>
    </row>
    <row r="15" spans="1:26">
      <c r="A15" s="3" t="s">
        <v>47</v>
      </c>
      <c r="B15" t="b">
        <v>1</v>
      </c>
      <c r="C15" t="s">
        <v>19</v>
      </c>
      <c r="D15" t="b">
        <v>1</v>
      </c>
      <c r="E15" t="s">
        <v>47</v>
      </c>
      <c r="F15">
        <v>0.55000000000000004</v>
      </c>
      <c r="G15" t="b">
        <v>0</v>
      </c>
      <c r="I15" s="5">
        <v>8.2100000000000009</v>
      </c>
      <c r="J15">
        <v>2</v>
      </c>
      <c r="L15" t="s">
        <v>48</v>
      </c>
      <c r="O15" t="s">
        <v>47</v>
      </c>
      <c r="P15" t="b">
        <v>0</v>
      </c>
      <c r="R15" t="b">
        <v>1</v>
      </c>
      <c r="S15" t="s">
        <v>47</v>
      </c>
      <c r="T15" t="s">
        <v>49</v>
      </c>
      <c r="U15" t="b">
        <v>1</v>
      </c>
      <c r="V15" t="s">
        <v>50</v>
      </c>
      <c r="W15" t="s">
        <v>51</v>
      </c>
      <c r="X15">
        <v>2</v>
      </c>
      <c r="Z15" t="s">
        <v>48</v>
      </c>
    </row>
    <row r="16" spans="1:26">
      <c r="A16" s="3" t="s">
        <v>52</v>
      </c>
      <c r="B16" t="b">
        <v>1</v>
      </c>
      <c r="C16" t="s">
        <v>19</v>
      </c>
      <c r="D16" t="b">
        <v>1</v>
      </c>
      <c r="E16" t="s">
        <v>52</v>
      </c>
      <c r="F16">
        <v>0.14000000000000001</v>
      </c>
      <c r="G16" t="b">
        <v>0</v>
      </c>
      <c r="I16" s="5">
        <v>0.46</v>
      </c>
      <c r="J16">
        <v>1</v>
      </c>
    </row>
    <row r="17" spans="1:12">
      <c r="A17" s="3" t="s">
        <v>53</v>
      </c>
      <c r="B17" t="b">
        <v>1</v>
      </c>
      <c r="C17" t="s">
        <v>19</v>
      </c>
      <c r="D17" t="b">
        <v>0</v>
      </c>
      <c r="G17" t="b">
        <v>0</v>
      </c>
      <c r="I17" s="5">
        <v>0.06</v>
      </c>
      <c r="J17">
        <v>1</v>
      </c>
    </row>
    <row r="18" spans="1:12">
      <c r="A18" s="3" t="s">
        <v>54</v>
      </c>
      <c r="B18" t="b">
        <v>1</v>
      </c>
      <c r="C18" t="s">
        <v>55</v>
      </c>
      <c r="D18" t="b">
        <v>1</v>
      </c>
      <c r="E18" t="s">
        <v>54</v>
      </c>
      <c r="F18">
        <v>0.47</v>
      </c>
      <c r="G18" t="b">
        <v>0</v>
      </c>
      <c r="I18" s="5">
        <v>1.9</v>
      </c>
      <c r="J18">
        <v>1</v>
      </c>
    </row>
    <row r="19" spans="1:12">
      <c r="A19" s="3" t="s">
        <v>56</v>
      </c>
      <c r="B19" t="b">
        <v>1</v>
      </c>
      <c r="C19" t="s">
        <v>19</v>
      </c>
      <c r="D19" t="b">
        <v>0</v>
      </c>
      <c r="G19" t="b">
        <v>0</v>
      </c>
      <c r="I19" s="5">
        <v>0.46</v>
      </c>
      <c r="J19">
        <v>1</v>
      </c>
    </row>
    <row r="20" spans="1:12">
      <c r="A20" s="3" t="s">
        <v>57</v>
      </c>
      <c r="B20" t="b">
        <v>1</v>
      </c>
      <c r="C20" t="s">
        <v>19</v>
      </c>
      <c r="D20" t="b">
        <v>0</v>
      </c>
      <c r="G20" t="b">
        <v>0</v>
      </c>
      <c r="I20" s="5">
        <v>0.3</v>
      </c>
      <c r="J20">
        <v>1</v>
      </c>
    </row>
    <row r="21" spans="1:12">
      <c r="A21" s="3" t="s">
        <v>58</v>
      </c>
      <c r="B21" t="b">
        <v>1</v>
      </c>
      <c r="C21" t="s">
        <v>19</v>
      </c>
      <c r="D21" t="b">
        <v>0</v>
      </c>
      <c r="G21" t="b">
        <v>0</v>
      </c>
      <c r="H21" t="s">
        <v>34</v>
      </c>
      <c r="I21" s="5">
        <v>0.13</v>
      </c>
      <c r="J21">
        <v>1</v>
      </c>
    </row>
    <row r="22" spans="1:12">
      <c r="A22" s="3" t="s">
        <v>59</v>
      </c>
      <c r="B22" t="b">
        <v>0</v>
      </c>
      <c r="D22" t="b">
        <v>0</v>
      </c>
      <c r="G22" t="b">
        <v>0</v>
      </c>
      <c r="I22" s="5">
        <v>0.37</v>
      </c>
      <c r="J22">
        <v>1</v>
      </c>
    </row>
    <row r="23" spans="1:12">
      <c r="A23" s="3" t="s">
        <v>60</v>
      </c>
      <c r="B23" t="b">
        <v>1</v>
      </c>
      <c r="C23" t="s">
        <v>19</v>
      </c>
      <c r="D23" t="b">
        <v>1</v>
      </c>
      <c r="E23" t="s">
        <v>60</v>
      </c>
      <c r="F23">
        <v>0.87</v>
      </c>
      <c r="G23" t="b">
        <v>0</v>
      </c>
      <c r="I23" s="5">
        <v>1</v>
      </c>
      <c r="J23">
        <v>1</v>
      </c>
    </row>
    <row r="24" spans="1:12">
      <c r="A24" s="3" t="s">
        <v>61</v>
      </c>
      <c r="B24" t="b">
        <v>1</v>
      </c>
      <c r="C24" t="s">
        <v>19</v>
      </c>
      <c r="D24" t="b">
        <v>0</v>
      </c>
      <c r="G24" t="b">
        <v>0</v>
      </c>
      <c r="I24" s="5">
        <v>0.32</v>
      </c>
      <c r="J24">
        <v>1</v>
      </c>
    </row>
    <row r="25" spans="1:12">
      <c r="A25" s="3" t="s">
        <v>62</v>
      </c>
      <c r="B25" t="b">
        <v>1</v>
      </c>
      <c r="C25" t="s">
        <v>19</v>
      </c>
      <c r="D25" t="b">
        <v>0</v>
      </c>
      <c r="G25" t="b">
        <v>0</v>
      </c>
      <c r="I25" s="5">
        <v>0.13</v>
      </c>
      <c r="J25">
        <v>1</v>
      </c>
    </row>
    <row r="26" spans="1:12">
      <c r="A26" s="3" t="s">
        <v>63</v>
      </c>
      <c r="B26" t="b">
        <v>1</v>
      </c>
      <c r="C26" t="s">
        <v>19</v>
      </c>
      <c r="D26" t="b">
        <v>1</v>
      </c>
      <c r="E26" t="s">
        <v>63</v>
      </c>
      <c r="F26">
        <v>0.94</v>
      </c>
      <c r="G26" t="b">
        <v>0</v>
      </c>
      <c r="I26" s="5">
        <v>0.45</v>
      </c>
      <c r="J26">
        <v>1</v>
      </c>
    </row>
    <row r="27" spans="1:12">
      <c r="A27" s="3" t="s">
        <v>64</v>
      </c>
      <c r="B27" t="b">
        <v>1</v>
      </c>
      <c r="C27" t="s">
        <v>19</v>
      </c>
      <c r="D27" t="b">
        <v>0</v>
      </c>
      <c r="G27" t="b">
        <v>0</v>
      </c>
      <c r="I27" s="5">
        <v>0.3</v>
      </c>
      <c r="J27">
        <v>1</v>
      </c>
    </row>
    <row r="28" spans="1:12">
      <c r="A28" s="3" t="s">
        <v>65</v>
      </c>
      <c r="B28" t="b">
        <v>1</v>
      </c>
      <c r="C28" t="s">
        <v>19</v>
      </c>
      <c r="D28" t="b">
        <v>0</v>
      </c>
      <c r="G28" t="b">
        <v>0</v>
      </c>
      <c r="H28" t="s">
        <v>34</v>
      </c>
      <c r="I28" s="5">
        <v>0.12</v>
      </c>
      <c r="J28">
        <v>1</v>
      </c>
    </row>
    <row r="29" spans="1:12">
      <c r="A29" s="3" t="s">
        <v>66</v>
      </c>
      <c r="B29" t="b">
        <v>0</v>
      </c>
      <c r="D29" t="b">
        <v>0</v>
      </c>
      <c r="G29" t="b">
        <v>1</v>
      </c>
      <c r="H29" t="s">
        <v>26</v>
      </c>
      <c r="I29" s="5">
        <v>0.33</v>
      </c>
      <c r="J29">
        <v>1</v>
      </c>
      <c r="L29" t="s">
        <v>67</v>
      </c>
    </row>
    <row r="30" spans="1:12">
      <c r="A30" s="3" t="s">
        <v>68</v>
      </c>
      <c r="B30" t="b">
        <v>1</v>
      </c>
      <c r="C30" t="s">
        <v>69</v>
      </c>
      <c r="D30" t="b">
        <v>0</v>
      </c>
      <c r="G30" t="b">
        <v>0</v>
      </c>
      <c r="I30" s="5">
        <v>0.31</v>
      </c>
      <c r="J30">
        <v>1</v>
      </c>
      <c r="L30" t="s">
        <v>70</v>
      </c>
    </row>
    <row r="31" spans="1:12">
      <c r="A31" s="3" t="s">
        <v>71</v>
      </c>
      <c r="B31" t="b">
        <v>1</v>
      </c>
      <c r="C31" t="s">
        <v>19</v>
      </c>
      <c r="D31" t="b">
        <v>0</v>
      </c>
      <c r="G31" t="b">
        <v>0</v>
      </c>
      <c r="I31" s="5">
        <v>0.43</v>
      </c>
      <c r="J31">
        <v>1</v>
      </c>
    </row>
    <row r="32" spans="1:12">
      <c r="A32" s="3" t="s">
        <v>72</v>
      </c>
      <c r="B32" t="b">
        <v>1</v>
      </c>
      <c r="C32" t="s">
        <v>19</v>
      </c>
      <c r="D32" t="b">
        <v>1</v>
      </c>
      <c r="E32" t="s">
        <v>72</v>
      </c>
      <c r="F32">
        <v>0.45</v>
      </c>
      <c r="G32" t="b">
        <v>0</v>
      </c>
      <c r="H32" t="s">
        <v>34</v>
      </c>
      <c r="I32" s="5">
        <v>0.21</v>
      </c>
      <c r="J32">
        <v>1</v>
      </c>
    </row>
    <row r="33" spans="1:12">
      <c r="A33" s="3" t="s">
        <v>73</v>
      </c>
      <c r="B33" t="b">
        <v>1</v>
      </c>
      <c r="C33" t="s">
        <v>19</v>
      </c>
      <c r="D33" t="b">
        <v>1</v>
      </c>
      <c r="E33" t="s">
        <v>73</v>
      </c>
      <c r="F33">
        <v>0.8</v>
      </c>
      <c r="G33" t="b">
        <v>0</v>
      </c>
      <c r="I33" s="5">
        <v>0.57999999999999996</v>
      </c>
      <c r="J33">
        <v>1</v>
      </c>
    </row>
    <row r="34" spans="1:12">
      <c r="A34" s="3" t="s">
        <v>74</v>
      </c>
      <c r="B34" t="b">
        <v>1</v>
      </c>
      <c r="C34" t="s">
        <v>19</v>
      </c>
      <c r="D34" t="b">
        <v>0</v>
      </c>
      <c r="G34" t="b">
        <v>1</v>
      </c>
      <c r="H34" t="s">
        <v>26</v>
      </c>
      <c r="I34" s="5">
        <v>0.41</v>
      </c>
      <c r="J34">
        <v>1</v>
      </c>
    </row>
    <row r="35" spans="1:12">
      <c r="A35" s="3" t="s">
        <v>75</v>
      </c>
      <c r="B35" t="b">
        <v>1</v>
      </c>
      <c r="C35" t="s">
        <v>19</v>
      </c>
      <c r="D35" t="b">
        <v>1</v>
      </c>
      <c r="E35" t="s">
        <v>76</v>
      </c>
      <c r="F35">
        <v>0.95</v>
      </c>
      <c r="G35" t="b">
        <v>0</v>
      </c>
      <c r="H35" t="s">
        <v>34</v>
      </c>
      <c r="I35" s="5">
        <v>0.64</v>
      </c>
      <c r="J35">
        <v>2</v>
      </c>
    </row>
    <row r="36" spans="1:12">
      <c r="A36" s="3" t="s">
        <v>77</v>
      </c>
      <c r="B36" t="b">
        <v>0</v>
      </c>
      <c r="D36" t="b">
        <v>1</v>
      </c>
      <c r="E36" t="s">
        <v>77</v>
      </c>
      <c r="F36">
        <v>0.11</v>
      </c>
      <c r="G36" t="b">
        <v>0</v>
      </c>
      <c r="I36" s="5">
        <v>1.87</v>
      </c>
      <c r="J36">
        <v>1</v>
      </c>
      <c r="L36" t="s">
        <v>78</v>
      </c>
    </row>
    <row r="37" spans="1:12">
      <c r="A37" s="3" t="s">
        <v>79</v>
      </c>
      <c r="B37" t="b">
        <v>1</v>
      </c>
      <c r="C37" t="s">
        <v>19</v>
      </c>
      <c r="D37" t="b">
        <v>0</v>
      </c>
      <c r="G37" t="b">
        <v>1</v>
      </c>
      <c r="H37" t="s">
        <v>26</v>
      </c>
      <c r="I37" s="5">
        <v>0.09</v>
      </c>
      <c r="J37">
        <v>1</v>
      </c>
    </row>
    <row r="38" spans="1:12">
      <c r="A38" s="3" t="s">
        <v>80</v>
      </c>
      <c r="B38" t="b">
        <v>1</v>
      </c>
      <c r="C38" t="s">
        <v>19</v>
      </c>
      <c r="D38" t="b">
        <v>0</v>
      </c>
      <c r="G38" t="b">
        <v>0</v>
      </c>
      <c r="I38" s="5">
        <v>0.11</v>
      </c>
      <c r="J38">
        <v>1</v>
      </c>
    </row>
    <row r="39" spans="1:12">
      <c r="A39" s="3" t="s">
        <v>81</v>
      </c>
      <c r="B39" t="b">
        <v>1</v>
      </c>
      <c r="C39" t="s">
        <v>19</v>
      </c>
      <c r="D39" t="b">
        <v>0</v>
      </c>
      <c r="G39" t="b">
        <v>0</v>
      </c>
      <c r="I39" s="5">
        <v>0.1</v>
      </c>
      <c r="J39">
        <v>1</v>
      </c>
    </row>
    <row r="40" spans="1:12">
      <c r="A40" s="3" t="s">
        <v>82</v>
      </c>
      <c r="B40" t="b">
        <v>1</v>
      </c>
      <c r="C40" t="s">
        <v>19</v>
      </c>
      <c r="D40" t="b">
        <v>1</v>
      </c>
      <c r="E40" t="s">
        <v>82</v>
      </c>
      <c r="F40">
        <v>0.77</v>
      </c>
      <c r="G40" t="b">
        <v>0</v>
      </c>
      <c r="I40" s="5">
        <v>0.42</v>
      </c>
      <c r="J40">
        <v>1</v>
      </c>
    </row>
    <row r="41" spans="1:12">
      <c r="A41" s="3" t="s">
        <v>83</v>
      </c>
      <c r="B41" t="b">
        <v>1</v>
      </c>
      <c r="C41" t="s">
        <v>19</v>
      </c>
      <c r="D41" t="b">
        <v>0</v>
      </c>
      <c r="G41" t="b">
        <v>1</v>
      </c>
      <c r="H41" t="s">
        <v>26</v>
      </c>
      <c r="I41" s="5">
        <v>0.14000000000000001</v>
      </c>
      <c r="J41">
        <v>1</v>
      </c>
    </row>
    <row r="42" spans="1:12">
      <c r="A42" s="4" t="s">
        <v>84</v>
      </c>
      <c r="B42" t="b">
        <v>1</v>
      </c>
      <c r="C42" t="s">
        <v>19</v>
      </c>
      <c r="D42" t="b">
        <v>0</v>
      </c>
      <c r="G42" t="b">
        <v>0</v>
      </c>
      <c r="I42" s="5">
        <v>0.5</v>
      </c>
      <c r="J42">
        <v>1</v>
      </c>
    </row>
    <row r="43" spans="1:12">
      <c r="F43">
        <f>(F40+F36+F35+F33+F32+F26+F23+F18+F16+F15+F13+F12+F11+F10+F9+F7+F4+F3)/18</f>
        <v>0.65333333333333321</v>
      </c>
      <c r="I43">
        <f>SUM(I3:I42)/40</f>
        <v>0.72650000000000003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46F85-C0CB-4DCD-A099-14F7C6621A9F}">
  <dimension ref="A1:AJ43"/>
  <sheetViews>
    <sheetView workbookViewId="0">
      <selection activeCell="Y14" sqref="Y14"/>
    </sheetView>
  </sheetViews>
  <sheetFormatPr defaultRowHeight="15"/>
  <cols>
    <col min="1" max="1" width="14.85546875" bestFit="1" customWidth="1"/>
    <col min="2" max="2" width="10.85546875" bestFit="1" customWidth="1"/>
    <col min="3" max="3" width="26" bestFit="1" customWidth="1"/>
    <col min="4" max="4" width="21.28515625" bestFit="1" customWidth="1"/>
    <col min="5" max="5" width="17.5703125" bestFit="1" customWidth="1"/>
    <col min="6" max="6" width="10.5703125" bestFit="1" customWidth="1"/>
    <col min="7" max="7" width="16.85546875" bestFit="1" customWidth="1"/>
    <col min="8" max="8" width="73" bestFit="1" customWidth="1"/>
    <col min="9" max="9" width="11.140625" bestFit="1" customWidth="1"/>
    <col min="10" max="10" width="13" bestFit="1" customWidth="1"/>
    <col min="12" max="12" width="69.140625" bestFit="1" customWidth="1"/>
    <col min="13" max="13" width="10.85546875" bestFit="1" customWidth="1"/>
    <col min="14" max="14" width="19.140625" bestFit="1" customWidth="1"/>
    <col min="15" max="15" width="13.85546875" bestFit="1" customWidth="1"/>
    <col min="16" max="16" width="10.85546875" bestFit="1" customWidth="1"/>
    <col min="17" max="17" width="19.140625" bestFit="1" customWidth="1"/>
    <col min="18" max="18" width="15.42578125" bestFit="1" customWidth="1"/>
    <col min="19" max="19" width="13.85546875" bestFit="1" customWidth="1"/>
    <col min="20" max="20" width="10.5703125" bestFit="1" customWidth="1"/>
    <col min="21" max="21" width="16.85546875" bestFit="1" customWidth="1"/>
    <col min="22" max="22" width="59.5703125" bestFit="1" customWidth="1"/>
    <col min="24" max="24" width="13" bestFit="1" customWidth="1"/>
    <col min="25" max="25" width="44.140625" bestFit="1" customWidth="1"/>
    <col min="27" max="27" width="14.85546875" bestFit="1" customWidth="1"/>
    <col min="28" max="28" width="10.85546875" bestFit="1" customWidth="1"/>
    <col min="29" max="29" width="19.140625" bestFit="1" customWidth="1"/>
    <col min="30" max="30" width="15.42578125" bestFit="1" customWidth="1"/>
    <col min="31" max="31" width="12.85546875" bestFit="1" customWidth="1"/>
    <col min="32" max="32" width="10.5703125" bestFit="1" customWidth="1"/>
    <col min="33" max="33" width="16.85546875" bestFit="1" customWidth="1"/>
    <col min="34" max="34" width="21" bestFit="1" customWidth="1"/>
    <col min="36" max="36" width="13" bestFit="1" customWidth="1"/>
  </cols>
  <sheetData>
    <row r="1" spans="1:36">
      <c r="A1" t="s">
        <v>0</v>
      </c>
      <c r="B1" t="s">
        <v>1</v>
      </c>
      <c r="C1" t="s">
        <v>2</v>
      </c>
      <c r="D1" t="s">
        <v>3</v>
      </c>
      <c r="E1" t="s">
        <v>4</v>
      </c>
      <c r="F1" t="s">
        <v>5</v>
      </c>
      <c r="G1" t="s">
        <v>6</v>
      </c>
      <c r="H1" t="s">
        <v>7</v>
      </c>
      <c r="I1" t="s">
        <v>8</v>
      </c>
      <c r="J1" t="s">
        <v>9</v>
      </c>
      <c r="L1" t="s">
        <v>10</v>
      </c>
      <c r="O1" t="s">
        <v>0</v>
      </c>
      <c r="P1" t="s">
        <v>1</v>
      </c>
      <c r="Q1" t="s">
        <v>2</v>
      </c>
      <c r="R1" t="s">
        <v>3</v>
      </c>
      <c r="S1" t="s">
        <v>4</v>
      </c>
      <c r="T1" t="s">
        <v>5</v>
      </c>
      <c r="U1" t="s">
        <v>6</v>
      </c>
      <c r="V1" t="s">
        <v>7</v>
      </c>
      <c r="W1" t="s">
        <v>8</v>
      </c>
      <c r="X1" t="s">
        <v>9</v>
      </c>
      <c r="AA1" t="s">
        <v>0</v>
      </c>
      <c r="AB1" t="s">
        <v>1</v>
      </c>
      <c r="AC1" t="s">
        <v>2</v>
      </c>
      <c r="AD1" t="s">
        <v>3</v>
      </c>
      <c r="AE1" t="s">
        <v>4</v>
      </c>
      <c r="AF1" t="s">
        <v>5</v>
      </c>
      <c r="AG1" t="s">
        <v>6</v>
      </c>
      <c r="AH1" t="s">
        <v>7</v>
      </c>
      <c r="AI1" t="s">
        <v>8</v>
      </c>
      <c r="AJ1" t="s">
        <v>9</v>
      </c>
    </row>
    <row r="2" spans="1:36">
      <c r="A2" s="1"/>
      <c r="B2" s="2" t="s">
        <v>11</v>
      </c>
      <c r="C2" s="2" t="s">
        <v>12</v>
      </c>
      <c r="D2" s="2" t="s">
        <v>11</v>
      </c>
      <c r="E2" s="2" t="s">
        <v>13</v>
      </c>
      <c r="F2" s="2" t="s">
        <v>14</v>
      </c>
      <c r="G2" s="2" t="s">
        <v>11</v>
      </c>
      <c r="H2" s="2" t="s">
        <v>15</v>
      </c>
      <c r="I2" t="s">
        <v>16</v>
      </c>
      <c r="J2" t="s">
        <v>17</v>
      </c>
      <c r="O2" s="1"/>
      <c r="P2" s="2" t="s">
        <v>11</v>
      </c>
      <c r="Q2" s="2" t="s">
        <v>12</v>
      </c>
      <c r="R2" s="2" t="s">
        <v>11</v>
      </c>
      <c r="S2" s="2" t="s">
        <v>13</v>
      </c>
      <c r="T2" s="2" t="s">
        <v>14</v>
      </c>
      <c r="U2" s="2" t="s">
        <v>11</v>
      </c>
      <c r="V2" s="2" t="s">
        <v>15</v>
      </c>
      <c r="W2" t="s">
        <v>16</v>
      </c>
      <c r="X2" t="s">
        <v>17</v>
      </c>
      <c r="AA2" s="1"/>
      <c r="AB2" s="2" t="s">
        <v>11</v>
      </c>
      <c r="AC2" s="2" t="s">
        <v>12</v>
      </c>
      <c r="AD2" s="2" t="s">
        <v>11</v>
      </c>
      <c r="AE2" s="2" t="s">
        <v>13</v>
      </c>
      <c r="AF2" s="2" t="s">
        <v>14</v>
      </c>
      <c r="AG2" s="2" t="s">
        <v>11</v>
      </c>
      <c r="AH2" s="2" t="s">
        <v>15</v>
      </c>
      <c r="AI2" t="s">
        <v>16</v>
      </c>
      <c r="AJ2" t="s">
        <v>17</v>
      </c>
    </row>
    <row r="3" spans="1:36">
      <c r="A3" s="3" t="s">
        <v>18</v>
      </c>
      <c r="B3" t="b">
        <v>1</v>
      </c>
      <c r="C3" t="s">
        <v>19</v>
      </c>
      <c r="D3" t="b">
        <v>1</v>
      </c>
      <c r="E3" t="s">
        <v>18</v>
      </c>
      <c r="F3">
        <v>0.95</v>
      </c>
      <c r="G3" t="b">
        <v>0</v>
      </c>
      <c r="I3">
        <v>0.5</v>
      </c>
      <c r="J3">
        <v>1</v>
      </c>
    </row>
    <row r="4" spans="1:36">
      <c r="A4" s="3" t="s">
        <v>20</v>
      </c>
      <c r="B4" t="b">
        <v>1</v>
      </c>
      <c r="C4" t="s">
        <v>19</v>
      </c>
      <c r="D4" t="b">
        <v>0</v>
      </c>
      <c r="G4" t="b">
        <v>0</v>
      </c>
      <c r="I4">
        <v>0.76</v>
      </c>
      <c r="J4">
        <v>2</v>
      </c>
      <c r="O4" t="s">
        <v>20</v>
      </c>
      <c r="P4" t="b">
        <v>0</v>
      </c>
      <c r="R4" t="b">
        <v>0</v>
      </c>
      <c r="U4" t="b">
        <v>1</v>
      </c>
      <c r="V4" t="s">
        <v>85</v>
      </c>
      <c r="W4" t="s">
        <v>86</v>
      </c>
      <c r="X4">
        <v>2</v>
      </c>
      <c r="Y4" t="s">
        <v>87</v>
      </c>
    </row>
    <row r="5" spans="1:36">
      <c r="A5" s="3" t="s">
        <v>23</v>
      </c>
      <c r="B5" t="b">
        <v>1</v>
      </c>
      <c r="C5" t="s">
        <v>19</v>
      </c>
      <c r="D5" t="b">
        <v>0</v>
      </c>
      <c r="G5" t="b">
        <v>0</v>
      </c>
      <c r="I5">
        <v>1.74</v>
      </c>
      <c r="J5">
        <v>1</v>
      </c>
    </row>
    <row r="6" spans="1:36">
      <c r="A6" s="3" t="s">
        <v>25</v>
      </c>
      <c r="B6" t="b">
        <v>1</v>
      </c>
      <c r="C6" t="s">
        <v>19</v>
      </c>
      <c r="D6" t="b">
        <v>1</v>
      </c>
      <c r="E6" t="s">
        <v>25</v>
      </c>
      <c r="F6">
        <v>0.5</v>
      </c>
      <c r="G6" t="b">
        <v>0</v>
      </c>
      <c r="I6">
        <v>0.28999999999999998</v>
      </c>
      <c r="J6">
        <v>1</v>
      </c>
      <c r="L6" t="s">
        <v>88</v>
      </c>
    </row>
    <row r="7" spans="1:36">
      <c r="A7" s="3" t="s">
        <v>27</v>
      </c>
      <c r="B7" t="b">
        <v>1</v>
      </c>
      <c r="C7" t="s">
        <v>19</v>
      </c>
      <c r="D7" t="b">
        <v>1</v>
      </c>
      <c r="E7" t="s">
        <v>27</v>
      </c>
      <c r="F7">
        <v>0.11</v>
      </c>
      <c r="G7" t="b">
        <v>0</v>
      </c>
      <c r="I7">
        <v>1.31</v>
      </c>
      <c r="J7">
        <v>1</v>
      </c>
      <c r="AA7" t="s">
        <v>27</v>
      </c>
      <c r="AB7" t="b">
        <v>1</v>
      </c>
      <c r="AC7" t="s">
        <v>19</v>
      </c>
      <c r="AD7" t="b">
        <v>1</v>
      </c>
      <c r="AE7" t="s">
        <v>27</v>
      </c>
      <c r="AF7">
        <v>0.62</v>
      </c>
      <c r="AG7" t="b">
        <v>0</v>
      </c>
      <c r="AI7">
        <v>2.95</v>
      </c>
      <c r="AJ7">
        <v>1</v>
      </c>
    </row>
    <row r="8" spans="1:36">
      <c r="A8" s="3" t="s">
        <v>33</v>
      </c>
      <c r="B8" t="b">
        <v>1</v>
      </c>
      <c r="C8" t="s">
        <v>19</v>
      </c>
      <c r="D8" t="b">
        <v>0</v>
      </c>
      <c r="G8" t="b">
        <v>0</v>
      </c>
      <c r="I8">
        <v>0.28000000000000003</v>
      </c>
      <c r="J8">
        <v>1</v>
      </c>
    </row>
    <row r="9" spans="1:36">
      <c r="A9" s="3" t="s">
        <v>36</v>
      </c>
      <c r="B9" t="b">
        <v>1</v>
      </c>
      <c r="C9" t="s">
        <v>19</v>
      </c>
      <c r="D9" t="b">
        <v>0</v>
      </c>
      <c r="G9" t="b">
        <v>0</v>
      </c>
      <c r="I9">
        <v>1.1299999999999999</v>
      </c>
      <c r="J9">
        <v>1</v>
      </c>
    </row>
    <row r="10" spans="1:36">
      <c r="A10" s="3" t="s">
        <v>37</v>
      </c>
      <c r="B10" t="b">
        <v>0</v>
      </c>
      <c r="D10" t="b">
        <v>1</v>
      </c>
      <c r="E10" t="s">
        <v>37</v>
      </c>
      <c r="F10">
        <v>0.9</v>
      </c>
      <c r="G10" t="b">
        <v>1</v>
      </c>
      <c r="H10" t="s">
        <v>89</v>
      </c>
      <c r="I10">
        <v>0.66</v>
      </c>
      <c r="J10">
        <v>1</v>
      </c>
      <c r="P10" t="b">
        <v>0</v>
      </c>
      <c r="R10" t="b">
        <v>1</v>
      </c>
      <c r="S10" t="s">
        <v>37</v>
      </c>
      <c r="T10" t="s">
        <v>90</v>
      </c>
      <c r="U10" t="b">
        <v>1</v>
      </c>
      <c r="V10" t="s">
        <v>91</v>
      </c>
      <c r="W10" t="s">
        <v>92</v>
      </c>
      <c r="X10">
        <v>1</v>
      </c>
    </row>
    <row r="11" spans="1:36">
      <c r="A11" s="3" t="s">
        <v>39</v>
      </c>
      <c r="B11" t="b">
        <v>1</v>
      </c>
      <c r="C11" t="s">
        <v>19</v>
      </c>
      <c r="D11" t="b">
        <v>1</v>
      </c>
      <c r="E11" t="s">
        <v>39</v>
      </c>
      <c r="F11">
        <v>0.83</v>
      </c>
      <c r="G11" t="b">
        <v>0</v>
      </c>
      <c r="I11">
        <v>0.75</v>
      </c>
      <c r="J11">
        <v>1</v>
      </c>
      <c r="AA11" t="s">
        <v>39</v>
      </c>
      <c r="AB11" t="b">
        <v>1</v>
      </c>
      <c r="AC11" t="s">
        <v>19</v>
      </c>
      <c r="AD11" t="b">
        <v>0</v>
      </c>
      <c r="AG11" t="b">
        <v>0</v>
      </c>
      <c r="AI11">
        <v>1.05</v>
      </c>
      <c r="AJ11">
        <v>1</v>
      </c>
    </row>
    <row r="12" spans="1:36">
      <c r="A12" s="3" t="s">
        <v>40</v>
      </c>
      <c r="B12" t="b">
        <v>1</v>
      </c>
      <c r="C12" t="s">
        <v>69</v>
      </c>
      <c r="D12" t="b">
        <v>1</v>
      </c>
      <c r="E12" t="s">
        <v>40</v>
      </c>
      <c r="F12">
        <v>0.35</v>
      </c>
      <c r="G12" t="b">
        <v>1</v>
      </c>
      <c r="H12" t="s">
        <v>93</v>
      </c>
      <c r="I12">
        <v>0.55000000000000004</v>
      </c>
      <c r="J12">
        <v>1</v>
      </c>
      <c r="L12" t="s">
        <v>94</v>
      </c>
    </row>
    <row r="13" spans="1:36">
      <c r="A13" s="3" t="s">
        <v>41</v>
      </c>
      <c r="B13" t="b">
        <v>1</v>
      </c>
      <c r="C13" t="s">
        <v>19</v>
      </c>
      <c r="D13" t="b">
        <v>1</v>
      </c>
      <c r="E13" t="s">
        <v>41</v>
      </c>
      <c r="F13">
        <v>0.87</v>
      </c>
      <c r="G13" t="b">
        <v>0</v>
      </c>
      <c r="I13">
        <v>1.79</v>
      </c>
      <c r="J13">
        <v>2</v>
      </c>
      <c r="O13" t="s">
        <v>41</v>
      </c>
      <c r="S13" t="s">
        <v>41</v>
      </c>
      <c r="T13" t="s">
        <v>95</v>
      </c>
      <c r="U13" t="b">
        <v>1</v>
      </c>
      <c r="V13" t="s">
        <v>96</v>
      </c>
      <c r="W13" t="s">
        <v>97</v>
      </c>
      <c r="X13">
        <v>2</v>
      </c>
      <c r="AA13" t="s">
        <v>41</v>
      </c>
      <c r="AB13" t="b">
        <v>1</v>
      </c>
      <c r="AC13" t="s">
        <v>19</v>
      </c>
      <c r="AD13" t="b">
        <v>0</v>
      </c>
      <c r="AG13" t="b">
        <v>0</v>
      </c>
      <c r="AI13">
        <v>1.1299999999999999</v>
      </c>
      <c r="AJ13">
        <v>2</v>
      </c>
    </row>
    <row r="14" spans="1:36">
      <c r="A14" s="3" t="s">
        <v>46</v>
      </c>
      <c r="B14" t="b">
        <v>1</v>
      </c>
      <c r="C14" t="s">
        <v>69</v>
      </c>
      <c r="D14" t="b">
        <v>0</v>
      </c>
      <c r="G14" t="b">
        <v>1</v>
      </c>
      <c r="H14" t="s">
        <v>98</v>
      </c>
      <c r="I14">
        <v>0.12</v>
      </c>
      <c r="J14">
        <v>1</v>
      </c>
    </row>
    <row r="15" spans="1:36">
      <c r="A15" s="3" t="s">
        <v>47</v>
      </c>
      <c r="B15" t="b">
        <v>1</v>
      </c>
      <c r="C15" t="s">
        <v>19</v>
      </c>
      <c r="D15" t="b">
        <v>1</v>
      </c>
      <c r="E15" t="s">
        <v>47</v>
      </c>
      <c r="F15">
        <v>0.78</v>
      </c>
      <c r="G15" t="b">
        <v>0</v>
      </c>
      <c r="I15">
        <v>8.23</v>
      </c>
      <c r="J15">
        <v>2</v>
      </c>
      <c r="O15" t="s">
        <v>47</v>
      </c>
      <c r="S15" t="s">
        <v>47</v>
      </c>
      <c r="T15" t="s">
        <v>99</v>
      </c>
      <c r="U15" t="b">
        <v>1</v>
      </c>
      <c r="V15" t="s">
        <v>96</v>
      </c>
      <c r="W15" t="s">
        <v>100</v>
      </c>
      <c r="X15">
        <v>2</v>
      </c>
    </row>
    <row r="16" spans="1:36">
      <c r="A16" s="3" t="s">
        <v>52</v>
      </c>
      <c r="B16" t="b">
        <v>1</v>
      </c>
      <c r="C16" t="s">
        <v>19</v>
      </c>
      <c r="D16" t="b">
        <v>1</v>
      </c>
      <c r="E16" t="s">
        <v>52</v>
      </c>
      <c r="F16">
        <v>0.24</v>
      </c>
      <c r="G16" t="b">
        <v>0</v>
      </c>
      <c r="I16">
        <v>0.46</v>
      </c>
      <c r="J16">
        <v>1</v>
      </c>
    </row>
    <row r="17" spans="1:36">
      <c r="A17" s="3" t="s">
        <v>53</v>
      </c>
      <c r="B17" t="b">
        <v>1</v>
      </c>
      <c r="C17" t="s">
        <v>19</v>
      </c>
      <c r="D17" t="b">
        <v>0</v>
      </c>
      <c r="G17" t="b">
        <v>0</v>
      </c>
      <c r="I17">
        <v>0.08</v>
      </c>
      <c r="J17">
        <v>1</v>
      </c>
    </row>
    <row r="18" spans="1:36">
      <c r="A18" s="3" t="s">
        <v>54</v>
      </c>
      <c r="B18" t="b">
        <v>1</v>
      </c>
      <c r="C18" t="s">
        <v>69</v>
      </c>
      <c r="D18" t="b">
        <v>1</v>
      </c>
      <c r="E18" t="s">
        <v>54</v>
      </c>
      <c r="F18">
        <v>0.77</v>
      </c>
      <c r="G18" t="b">
        <v>1</v>
      </c>
      <c r="H18" t="s">
        <v>101</v>
      </c>
      <c r="I18">
        <v>2.66</v>
      </c>
      <c r="J18">
        <v>1</v>
      </c>
      <c r="L18" t="s">
        <v>102</v>
      </c>
    </row>
    <row r="19" spans="1:36">
      <c r="A19" s="3" t="s">
        <v>56</v>
      </c>
      <c r="B19" t="b">
        <v>1</v>
      </c>
      <c r="C19" t="s">
        <v>19</v>
      </c>
      <c r="D19" t="b">
        <v>0</v>
      </c>
      <c r="G19" t="b">
        <v>0</v>
      </c>
      <c r="I19">
        <v>0.54</v>
      </c>
      <c r="J19">
        <v>1</v>
      </c>
    </row>
    <row r="20" spans="1:36">
      <c r="A20" s="3" t="s">
        <v>57</v>
      </c>
      <c r="B20" t="b">
        <v>1</v>
      </c>
      <c r="C20" t="s">
        <v>19</v>
      </c>
      <c r="D20" t="b">
        <v>0</v>
      </c>
      <c r="G20" t="b">
        <v>0</v>
      </c>
      <c r="I20">
        <v>0.5</v>
      </c>
      <c r="J20">
        <v>1</v>
      </c>
    </row>
    <row r="21" spans="1:36">
      <c r="A21" s="3" t="s">
        <v>58</v>
      </c>
      <c r="B21" t="b">
        <v>1</v>
      </c>
      <c r="C21" t="s">
        <v>19</v>
      </c>
      <c r="D21" t="b">
        <v>0</v>
      </c>
      <c r="G21" t="b">
        <v>0</v>
      </c>
      <c r="I21">
        <v>0.21</v>
      </c>
      <c r="J21">
        <v>1</v>
      </c>
    </row>
    <row r="22" spans="1:36">
      <c r="A22" s="3" t="s">
        <v>59</v>
      </c>
      <c r="B22" t="b">
        <v>1</v>
      </c>
      <c r="C22" t="s">
        <v>19</v>
      </c>
      <c r="D22" t="b">
        <v>0</v>
      </c>
      <c r="G22" t="b">
        <v>0</v>
      </c>
      <c r="I22">
        <v>0.04</v>
      </c>
      <c r="J22">
        <v>1</v>
      </c>
    </row>
    <row r="23" spans="1:36">
      <c r="A23" s="3" t="s">
        <v>60</v>
      </c>
      <c r="B23" t="b">
        <v>1</v>
      </c>
      <c r="C23" t="s">
        <v>19</v>
      </c>
      <c r="D23" t="b">
        <v>1</v>
      </c>
      <c r="E23" t="s">
        <v>60</v>
      </c>
      <c r="F23">
        <v>0.71</v>
      </c>
      <c r="G23" t="b">
        <v>0</v>
      </c>
      <c r="I23">
        <v>1.0900000000000001</v>
      </c>
      <c r="J23">
        <v>1</v>
      </c>
      <c r="P23" t="b">
        <v>0</v>
      </c>
      <c r="R23" t="b">
        <v>1</v>
      </c>
      <c r="S23" t="s">
        <v>60</v>
      </c>
      <c r="T23" t="s">
        <v>103</v>
      </c>
      <c r="U23" t="b">
        <v>1</v>
      </c>
      <c r="V23" t="s">
        <v>104</v>
      </c>
      <c r="W23" t="s">
        <v>105</v>
      </c>
      <c r="X23">
        <v>1</v>
      </c>
    </row>
    <row r="24" spans="1:36">
      <c r="A24" s="3" t="s">
        <v>61</v>
      </c>
      <c r="B24" t="b">
        <v>1</v>
      </c>
      <c r="C24" t="s">
        <v>19</v>
      </c>
      <c r="D24" t="b">
        <v>0</v>
      </c>
      <c r="G24" t="b">
        <v>0</v>
      </c>
      <c r="I24">
        <v>0.47</v>
      </c>
      <c r="J24">
        <v>1</v>
      </c>
    </row>
    <row r="25" spans="1:36">
      <c r="A25" s="3" t="s">
        <v>62</v>
      </c>
      <c r="B25" t="b">
        <v>1</v>
      </c>
      <c r="C25" t="s">
        <v>69</v>
      </c>
      <c r="D25" t="b">
        <v>0</v>
      </c>
      <c r="G25" t="b">
        <v>1</v>
      </c>
      <c r="H25" t="s">
        <v>106</v>
      </c>
      <c r="I25">
        <v>0.15</v>
      </c>
      <c r="J25">
        <v>1</v>
      </c>
    </row>
    <row r="26" spans="1:36">
      <c r="A26" s="3" t="s">
        <v>63</v>
      </c>
      <c r="B26" t="b">
        <v>1</v>
      </c>
      <c r="C26" t="s">
        <v>19</v>
      </c>
      <c r="D26" t="b">
        <v>1</v>
      </c>
      <c r="E26" t="s">
        <v>63</v>
      </c>
      <c r="F26">
        <v>0.86</v>
      </c>
      <c r="G26" t="b">
        <v>0</v>
      </c>
      <c r="I26">
        <v>0.63</v>
      </c>
      <c r="J26">
        <v>1</v>
      </c>
    </row>
    <row r="27" spans="1:36">
      <c r="A27" s="3" t="s">
        <v>64</v>
      </c>
      <c r="B27" t="b">
        <v>1</v>
      </c>
      <c r="C27" t="s">
        <v>69</v>
      </c>
      <c r="D27" t="b">
        <v>0</v>
      </c>
      <c r="G27" t="b">
        <v>1</v>
      </c>
      <c r="H27" t="s">
        <v>107</v>
      </c>
      <c r="I27">
        <v>0.38</v>
      </c>
      <c r="J27">
        <v>1</v>
      </c>
    </row>
    <row r="28" spans="1:36">
      <c r="A28" s="3" t="s">
        <v>65</v>
      </c>
      <c r="B28" t="b">
        <v>1</v>
      </c>
      <c r="C28" t="s">
        <v>19</v>
      </c>
      <c r="D28" t="b">
        <v>0</v>
      </c>
      <c r="G28" t="b">
        <v>0</v>
      </c>
      <c r="I28">
        <v>0.09</v>
      </c>
      <c r="J28">
        <v>1</v>
      </c>
    </row>
    <row r="29" spans="1:36">
      <c r="A29" s="3" t="s">
        <v>66</v>
      </c>
      <c r="B29" t="b">
        <v>0</v>
      </c>
      <c r="D29" t="b">
        <v>0</v>
      </c>
      <c r="G29" t="b">
        <v>1</v>
      </c>
      <c r="H29" t="s">
        <v>108</v>
      </c>
      <c r="I29">
        <v>0.4</v>
      </c>
      <c r="J29">
        <v>1</v>
      </c>
      <c r="P29" t="b">
        <v>0</v>
      </c>
      <c r="R29" t="b">
        <v>0</v>
      </c>
      <c r="U29" t="b">
        <v>1</v>
      </c>
      <c r="V29" t="s">
        <v>109</v>
      </c>
      <c r="W29" t="s">
        <v>110</v>
      </c>
      <c r="X29">
        <v>1</v>
      </c>
    </row>
    <row r="30" spans="1:36">
      <c r="A30" s="3" t="s">
        <v>68</v>
      </c>
      <c r="B30" t="b">
        <v>1</v>
      </c>
      <c r="C30" t="s">
        <v>19</v>
      </c>
      <c r="D30" t="b">
        <v>0</v>
      </c>
      <c r="G30" t="b">
        <v>0</v>
      </c>
      <c r="I30">
        <v>0.28000000000000003</v>
      </c>
      <c r="J30">
        <v>2</v>
      </c>
      <c r="O30" t="s">
        <v>68</v>
      </c>
      <c r="R30" t="b">
        <v>0</v>
      </c>
      <c r="U30" t="b">
        <v>1</v>
      </c>
      <c r="V30" t="s">
        <v>111</v>
      </c>
      <c r="W30" t="s">
        <v>112</v>
      </c>
      <c r="X30">
        <v>2</v>
      </c>
    </row>
    <row r="31" spans="1:36">
      <c r="A31" s="3" t="s">
        <v>71</v>
      </c>
      <c r="B31" t="b">
        <v>1</v>
      </c>
      <c r="C31" t="s">
        <v>19</v>
      </c>
      <c r="D31" t="b">
        <v>0</v>
      </c>
      <c r="G31" t="b">
        <v>0</v>
      </c>
      <c r="I31">
        <v>0.47</v>
      </c>
      <c r="J31">
        <v>1</v>
      </c>
      <c r="AA31" t="s">
        <v>71</v>
      </c>
      <c r="AB31" t="b">
        <v>1</v>
      </c>
      <c r="AC31" t="s">
        <v>19</v>
      </c>
      <c r="AD31" t="b">
        <v>0</v>
      </c>
      <c r="AG31" t="b">
        <v>0</v>
      </c>
      <c r="AI31">
        <v>0.9</v>
      </c>
      <c r="AJ31">
        <v>1</v>
      </c>
    </row>
    <row r="32" spans="1:36">
      <c r="A32" s="3" t="s">
        <v>72</v>
      </c>
      <c r="B32" t="b">
        <v>1</v>
      </c>
      <c r="C32" t="s">
        <v>19</v>
      </c>
      <c r="D32" t="b">
        <v>1</v>
      </c>
      <c r="E32" t="s">
        <v>72</v>
      </c>
      <c r="F32">
        <v>0.52</v>
      </c>
      <c r="G32" t="b">
        <v>0</v>
      </c>
      <c r="I32">
        <v>0.18</v>
      </c>
      <c r="J32">
        <v>1</v>
      </c>
    </row>
    <row r="33" spans="1:36">
      <c r="A33" s="3" t="s">
        <v>73</v>
      </c>
      <c r="B33" t="b">
        <v>1</v>
      </c>
      <c r="C33" t="s">
        <v>19</v>
      </c>
      <c r="D33" t="b">
        <v>1</v>
      </c>
      <c r="E33" t="s">
        <v>73</v>
      </c>
      <c r="F33">
        <v>0.89</v>
      </c>
      <c r="G33" t="b">
        <v>0</v>
      </c>
      <c r="I33">
        <v>0.55000000000000004</v>
      </c>
      <c r="J33">
        <v>1</v>
      </c>
    </row>
    <row r="34" spans="1:36">
      <c r="A34" s="3" t="s">
        <v>74</v>
      </c>
      <c r="B34" t="b">
        <v>1</v>
      </c>
      <c r="C34" t="s">
        <v>69</v>
      </c>
      <c r="D34" t="b">
        <v>1</v>
      </c>
      <c r="E34" t="s">
        <v>74</v>
      </c>
      <c r="F34">
        <v>0.57999999999999996</v>
      </c>
      <c r="G34" t="b">
        <v>1</v>
      </c>
      <c r="H34" t="s">
        <v>113</v>
      </c>
      <c r="I34">
        <v>0.38</v>
      </c>
      <c r="J34">
        <v>1</v>
      </c>
    </row>
    <row r="35" spans="1:36">
      <c r="A35" s="3" t="s">
        <v>75</v>
      </c>
      <c r="B35" t="b">
        <v>1</v>
      </c>
      <c r="C35" t="s">
        <v>19</v>
      </c>
      <c r="D35" t="b">
        <v>1</v>
      </c>
      <c r="E35" t="s">
        <v>75</v>
      </c>
      <c r="F35">
        <v>0.91</v>
      </c>
      <c r="G35" t="b">
        <v>0</v>
      </c>
      <c r="I35">
        <v>0.87</v>
      </c>
      <c r="J35">
        <v>1</v>
      </c>
    </row>
    <row r="36" spans="1:36">
      <c r="A36" s="3" t="s">
        <v>77</v>
      </c>
      <c r="B36" t="b">
        <v>1</v>
      </c>
      <c r="C36" t="s">
        <v>19</v>
      </c>
      <c r="D36" t="b">
        <v>1</v>
      </c>
      <c r="E36" t="s">
        <v>77</v>
      </c>
      <c r="F36">
        <v>0.15</v>
      </c>
      <c r="G36" t="b">
        <v>0</v>
      </c>
      <c r="I36">
        <v>2.1800000000000002</v>
      </c>
      <c r="J36">
        <v>2</v>
      </c>
      <c r="O36" t="s">
        <v>77</v>
      </c>
      <c r="R36" t="b">
        <v>0</v>
      </c>
      <c r="W36" t="s">
        <v>114</v>
      </c>
      <c r="X36">
        <v>2</v>
      </c>
      <c r="AA36" t="s">
        <v>77</v>
      </c>
      <c r="AB36" t="b">
        <v>0</v>
      </c>
      <c r="AD36" t="b">
        <v>0</v>
      </c>
      <c r="AG36" t="b">
        <v>1</v>
      </c>
      <c r="AH36" t="s">
        <v>115</v>
      </c>
      <c r="AI36">
        <v>1.91</v>
      </c>
      <c r="AJ36">
        <v>1</v>
      </c>
    </row>
    <row r="37" spans="1:36">
      <c r="A37" s="3" t="s">
        <v>79</v>
      </c>
      <c r="B37" t="b">
        <v>1</v>
      </c>
      <c r="C37" t="s">
        <v>19</v>
      </c>
      <c r="D37" t="b">
        <v>0</v>
      </c>
      <c r="G37" t="b">
        <v>0</v>
      </c>
      <c r="I37">
        <v>0.06</v>
      </c>
      <c r="J37">
        <v>1</v>
      </c>
    </row>
    <row r="38" spans="1:36">
      <c r="A38" s="3" t="s">
        <v>80</v>
      </c>
      <c r="B38" t="b">
        <v>0</v>
      </c>
      <c r="D38" t="b">
        <v>0</v>
      </c>
      <c r="G38" t="b">
        <v>1</v>
      </c>
      <c r="H38" t="s">
        <v>89</v>
      </c>
      <c r="I38">
        <v>0.19</v>
      </c>
      <c r="J38">
        <v>1</v>
      </c>
    </row>
    <row r="39" spans="1:36">
      <c r="A39" s="3" t="s">
        <v>81</v>
      </c>
      <c r="B39" t="b">
        <v>1</v>
      </c>
      <c r="C39" t="s">
        <v>19</v>
      </c>
      <c r="D39" t="b">
        <v>0</v>
      </c>
      <c r="G39" t="b">
        <v>0</v>
      </c>
      <c r="I39">
        <v>0.19</v>
      </c>
      <c r="J39">
        <v>1</v>
      </c>
    </row>
    <row r="40" spans="1:36">
      <c r="A40" s="3" t="s">
        <v>82</v>
      </c>
      <c r="B40" t="b">
        <v>1</v>
      </c>
      <c r="C40" t="s">
        <v>19</v>
      </c>
      <c r="D40" t="b">
        <v>1</v>
      </c>
      <c r="E40" t="s">
        <v>82</v>
      </c>
      <c r="F40">
        <v>0.17</v>
      </c>
      <c r="G40" t="b">
        <v>0</v>
      </c>
      <c r="I40">
        <v>0.48</v>
      </c>
      <c r="J40">
        <v>1</v>
      </c>
    </row>
    <row r="41" spans="1:36">
      <c r="A41" s="3" t="s">
        <v>83</v>
      </c>
      <c r="B41" t="b">
        <v>1</v>
      </c>
      <c r="C41" t="s">
        <v>19</v>
      </c>
      <c r="D41" t="b">
        <v>0</v>
      </c>
      <c r="G41" t="b">
        <v>0</v>
      </c>
      <c r="I41">
        <v>0.34</v>
      </c>
      <c r="J41">
        <v>1</v>
      </c>
      <c r="L41" t="s">
        <v>116</v>
      </c>
    </row>
    <row r="42" spans="1:36">
      <c r="A42" s="4" t="s">
        <v>84</v>
      </c>
      <c r="B42" t="b">
        <v>1</v>
      </c>
      <c r="C42" t="s">
        <v>19</v>
      </c>
      <c r="D42" t="b">
        <v>0</v>
      </c>
      <c r="G42" t="b">
        <v>0</v>
      </c>
      <c r="I42">
        <v>0.39</v>
      </c>
      <c r="J42">
        <v>1</v>
      </c>
    </row>
    <row r="43" spans="1:36">
      <c r="F43">
        <f>SUM(F3:F42)/18</f>
        <v>0.61611111111111116</v>
      </c>
      <c r="I43">
        <f>SUM(I3:I42)/40</f>
        <v>0.8092499999999998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36449-1D9D-4441-AAD4-2B0E3F422D1A}">
  <dimension ref="A1:W42"/>
  <sheetViews>
    <sheetView workbookViewId="0">
      <selection activeCell="T29" sqref="T29"/>
    </sheetView>
  </sheetViews>
  <sheetFormatPr defaultRowHeight="15"/>
  <cols>
    <col min="1" max="1" width="14.85546875" bestFit="1" customWidth="1"/>
    <col min="2" max="2" width="10.85546875" bestFit="1" customWidth="1"/>
    <col min="3" max="3" width="26" bestFit="1" customWidth="1"/>
    <col min="4" max="4" width="15.42578125" bestFit="1" customWidth="1"/>
    <col min="5" max="5" width="14.7109375" bestFit="1" customWidth="1"/>
    <col min="6" max="6" width="10.5703125" bestFit="1" customWidth="1"/>
    <col min="7" max="7" width="16.85546875" bestFit="1" customWidth="1"/>
    <col min="8" max="8" width="57.85546875" bestFit="1" customWidth="1"/>
    <col min="10" max="10" width="13" bestFit="1" customWidth="1"/>
    <col min="11" max="11" width="95.85546875" bestFit="1" customWidth="1"/>
    <col min="13" max="13" width="14.85546875" bestFit="1" customWidth="1"/>
    <col min="14" max="14" width="10.85546875" bestFit="1" customWidth="1"/>
    <col min="15" max="15" width="19.140625" bestFit="1" customWidth="1"/>
    <col min="16" max="16" width="15.42578125" bestFit="1" customWidth="1"/>
    <col min="17" max="17" width="12.85546875" bestFit="1" customWidth="1"/>
    <col min="18" max="18" width="10.5703125" bestFit="1" customWidth="1"/>
    <col min="19" max="19" width="16.85546875" bestFit="1" customWidth="1"/>
    <col min="20" max="20" width="50.7109375" bestFit="1" customWidth="1"/>
  </cols>
  <sheetData>
    <row r="1" spans="1:23">
      <c r="A1" t="s">
        <v>0</v>
      </c>
      <c r="B1" t="s">
        <v>1</v>
      </c>
      <c r="C1" t="s">
        <v>2</v>
      </c>
      <c r="D1" t="s">
        <v>3</v>
      </c>
      <c r="E1" t="s">
        <v>4</v>
      </c>
      <c r="F1" t="s">
        <v>5</v>
      </c>
      <c r="G1" t="s">
        <v>6</v>
      </c>
      <c r="H1" t="s">
        <v>7</v>
      </c>
      <c r="I1" t="s">
        <v>8</v>
      </c>
      <c r="M1" t="s">
        <v>0</v>
      </c>
      <c r="N1" t="s">
        <v>1</v>
      </c>
      <c r="O1" t="s">
        <v>2</v>
      </c>
      <c r="P1" t="s">
        <v>3</v>
      </c>
      <c r="Q1" t="s">
        <v>4</v>
      </c>
      <c r="R1" t="s">
        <v>5</v>
      </c>
      <c r="S1" t="s">
        <v>6</v>
      </c>
      <c r="T1" t="s">
        <v>7</v>
      </c>
      <c r="U1" t="s">
        <v>8</v>
      </c>
      <c r="W1" t="s">
        <v>117</v>
      </c>
    </row>
    <row r="2" spans="1:23">
      <c r="A2" s="1"/>
      <c r="B2" s="2" t="s">
        <v>11</v>
      </c>
      <c r="C2" s="2" t="s">
        <v>12</v>
      </c>
      <c r="D2" s="2" t="s">
        <v>11</v>
      </c>
      <c r="E2" s="2" t="s">
        <v>13</v>
      </c>
      <c r="F2" s="2" t="s">
        <v>14</v>
      </c>
      <c r="G2" s="2" t="s">
        <v>11</v>
      </c>
      <c r="H2" s="2" t="s">
        <v>15</v>
      </c>
      <c r="I2" t="s">
        <v>16</v>
      </c>
      <c r="M2" s="1"/>
      <c r="N2" s="2" t="s">
        <v>11</v>
      </c>
      <c r="O2" s="2" t="s">
        <v>12</v>
      </c>
      <c r="P2" s="2" t="s">
        <v>11</v>
      </c>
      <c r="Q2" s="2" t="s">
        <v>13</v>
      </c>
      <c r="R2" s="2" t="s">
        <v>14</v>
      </c>
      <c r="S2" s="2" t="s">
        <v>11</v>
      </c>
      <c r="T2" s="2" t="s">
        <v>15</v>
      </c>
      <c r="U2" t="s">
        <v>16</v>
      </c>
    </row>
    <row r="3" spans="1:23">
      <c r="A3" s="3" t="s">
        <v>18</v>
      </c>
      <c r="B3" t="b">
        <v>1</v>
      </c>
      <c r="C3" t="s">
        <v>69</v>
      </c>
      <c r="D3" t="b">
        <v>1</v>
      </c>
      <c r="E3" t="s">
        <v>18</v>
      </c>
      <c r="F3" t="s">
        <v>118</v>
      </c>
      <c r="G3" t="b">
        <v>1</v>
      </c>
      <c r="H3" t="s">
        <v>119</v>
      </c>
      <c r="I3" t="s">
        <v>120</v>
      </c>
      <c r="K3" t="s">
        <v>121</v>
      </c>
    </row>
    <row r="4" spans="1:23">
      <c r="A4" s="3" t="s">
        <v>20</v>
      </c>
      <c r="B4" t="b">
        <v>0</v>
      </c>
      <c r="D4" t="b">
        <v>1</v>
      </c>
      <c r="E4" t="s">
        <v>20</v>
      </c>
      <c r="F4" t="s">
        <v>112</v>
      </c>
      <c r="G4" t="b">
        <v>1</v>
      </c>
      <c r="H4" t="s">
        <v>119</v>
      </c>
      <c r="I4" t="s">
        <v>122</v>
      </c>
    </row>
    <row r="5" spans="1:23">
      <c r="A5" s="3" t="s">
        <v>23</v>
      </c>
      <c r="B5" t="b">
        <v>1</v>
      </c>
      <c r="C5" t="s">
        <v>69</v>
      </c>
      <c r="D5" t="b">
        <v>0</v>
      </c>
      <c r="G5" t="b">
        <v>1</v>
      </c>
      <c r="H5" t="s">
        <v>123</v>
      </c>
      <c r="I5" t="s">
        <v>124</v>
      </c>
    </row>
    <row r="6" spans="1:23">
      <c r="A6" s="3" t="s">
        <v>25</v>
      </c>
      <c r="B6" t="b">
        <v>0</v>
      </c>
      <c r="D6" t="b">
        <v>1</v>
      </c>
      <c r="E6" t="s">
        <v>25</v>
      </c>
      <c r="F6" t="s">
        <v>125</v>
      </c>
      <c r="G6" t="b">
        <v>1</v>
      </c>
      <c r="H6" s="6" t="s">
        <v>126</v>
      </c>
      <c r="I6" t="s">
        <v>97</v>
      </c>
    </row>
    <row r="7" spans="1:23">
      <c r="A7" s="3" t="s">
        <v>27</v>
      </c>
      <c r="B7" t="b">
        <v>1</v>
      </c>
      <c r="C7" t="s">
        <v>19</v>
      </c>
      <c r="D7" t="b">
        <v>0</v>
      </c>
      <c r="G7" t="b">
        <v>0</v>
      </c>
      <c r="I7" t="s">
        <v>127</v>
      </c>
      <c r="K7" s="6" t="s">
        <v>126</v>
      </c>
      <c r="M7" t="s">
        <v>27</v>
      </c>
      <c r="N7" t="b">
        <v>0</v>
      </c>
      <c r="P7" t="b">
        <v>1</v>
      </c>
      <c r="Q7" t="s">
        <v>27</v>
      </c>
      <c r="R7" t="s">
        <v>128</v>
      </c>
      <c r="S7" t="b">
        <v>1</v>
      </c>
      <c r="T7" t="s">
        <v>119</v>
      </c>
      <c r="U7" t="s">
        <v>129</v>
      </c>
    </row>
    <row r="8" spans="1:23">
      <c r="A8" s="3" t="s">
        <v>33</v>
      </c>
      <c r="B8" t="b">
        <v>0</v>
      </c>
      <c r="D8" t="b">
        <v>0</v>
      </c>
      <c r="G8" t="b">
        <v>1</v>
      </c>
      <c r="H8" s="6" t="s">
        <v>126</v>
      </c>
      <c r="I8" t="s">
        <v>130</v>
      </c>
      <c r="K8" t="s">
        <v>119</v>
      </c>
    </row>
    <row r="9" spans="1:23">
      <c r="A9" s="3" t="s">
        <v>36</v>
      </c>
      <c r="B9" t="b">
        <v>0</v>
      </c>
      <c r="D9" t="b">
        <v>0</v>
      </c>
      <c r="G9" t="b">
        <v>1</v>
      </c>
      <c r="H9" t="s">
        <v>119</v>
      </c>
      <c r="I9" t="s">
        <v>97</v>
      </c>
      <c r="K9" t="s">
        <v>131</v>
      </c>
    </row>
    <row r="10" spans="1:23">
      <c r="A10" s="3" t="s">
        <v>37</v>
      </c>
      <c r="B10" t="b">
        <v>0</v>
      </c>
      <c r="D10" t="b">
        <v>1</v>
      </c>
      <c r="E10" t="s">
        <v>37</v>
      </c>
      <c r="F10" t="s">
        <v>132</v>
      </c>
      <c r="G10" t="b">
        <v>1</v>
      </c>
      <c r="H10" s="6" t="s">
        <v>126</v>
      </c>
      <c r="I10" t="s">
        <v>122</v>
      </c>
      <c r="K10" t="s">
        <v>133</v>
      </c>
    </row>
    <row r="11" spans="1:23">
      <c r="A11" s="3" t="s">
        <v>39</v>
      </c>
      <c r="B11" s="7" t="b">
        <v>1</v>
      </c>
      <c r="C11" t="s">
        <v>19</v>
      </c>
      <c r="D11" t="b">
        <v>1</v>
      </c>
      <c r="E11" t="s">
        <v>39</v>
      </c>
      <c r="F11" t="s">
        <v>134</v>
      </c>
      <c r="G11" t="b">
        <v>0</v>
      </c>
      <c r="I11" t="s">
        <v>135</v>
      </c>
      <c r="M11" t="s">
        <v>39</v>
      </c>
      <c r="N11" s="7" t="b">
        <v>0</v>
      </c>
      <c r="P11" t="b">
        <v>1</v>
      </c>
      <c r="Q11" t="s">
        <v>39</v>
      </c>
      <c r="R11" t="s">
        <v>136</v>
      </c>
      <c r="S11" t="b">
        <v>1</v>
      </c>
      <c r="T11" t="s">
        <v>119</v>
      </c>
      <c r="U11" t="s">
        <v>129</v>
      </c>
    </row>
    <row r="12" spans="1:23">
      <c r="A12" s="3" t="s">
        <v>40</v>
      </c>
      <c r="B12" t="b">
        <v>0</v>
      </c>
      <c r="D12" t="b">
        <v>0</v>
      </c>
      <c r="G12" t="b">
        <v>1</v>
      </c>
      <c r="H12" s="6" t="s">
        <v>119</v>
      </c>
      <c r="I12" t="s">
        <v>97</v>
      </c>
    </row>
    <row r="13" spans="1:23">
      <c r="A13" s="3" t="s">
        <v>41</v>
      </c>
      <c r="B13" t="b">
        <v>0</v>
      </c>
      <c r="D13" t="b">
        <v>0</v>
      </c>
      <c r="G13" t="b">
        <v>1</v>
      </c>
      <c r="H13" s="6" t="s">
        <v>119</v>
      </c>
      <c r="I13" t="s">
        <v>130</v>
      </c>
      <c r="M13" t="s">
        <v>41</v>
      </c>
      <c r="N13" t="b">
        <v>0</v>
      </c>
      <c r="P13" t="b">
        <v>1</v>
      </c>
      <c r="Q13" t="s">
        <v>41</v>
      </c>
      <c r="R13" t="s">
        <v>137</v>
      </c>
      <c r="S13" t="b">
        <v>1</v>
      </c>
      <c r="T13" s="6" t="s">
        <v>119</v>
      </c>
      <c r="U13" t="s">
        <v>138</v>
      </c>
    </row>
    <row r="14" spans="1:23">
      <c r="A14" s="3" t="s">
        <v>46</v>
      </c>
      <c r="B14" t="b">
        <v>0</v>
      </c>
      <c r="D14" t="b">
        <v>0</v>
      </c>
      <c r="G14" t="b">
        <v>1</v>
      </c>
      <c r="H14" s="6" t="s">
        <v>126</v>
      </c>
      <c r="I14" t="s">
        <v>122</v>
      </c>
    </row>
    <row r="15" spans="1:23">
      <c r="A15" s="3" t="s">
        <v>47</v>
      </c>
      <c r="B15" t="b">
        <v>1</v>
      </c>
      <c r="C15" t="s">
        <v>21</v>
      </c>
      <c r="D15" t="b">
        <v>1</v>
      </c>
      <c r="E15" t="s">
        <v>47</v>
      </c>
      <c r="F15" t="s">
        <v>139</v>
      </c>
      <c r="G15" t="b">
        <v>0</v>
      </c>
      <c r="I15" t="s">
        <v>140</v>
      </c>
    </row>
    <row r="16" spans="1:23">
      <c r="A16" s="3" t="s">
        <v>52</v>
      </c>
      <c r="B16" t="b">
        <v>0</v>
      </c>
      <c r="D16" t="b">
        <v>1</v>
      </c>
      <c r="E16" t="s">
        <v>52</v>
      </c>
      <c r="F16" t="s">
        <v>141</v>
      </c>
      <c r="G16" t="b">
        <v>1</v>
      </c>
      <c r="H16" s="6" t="s">
        <v>126</v>
      </c>
      <c r="I16" t="s">
        <v>142</v>
      </c>
    </row>
    <row r="17" spans="1:21">
      <c r="A17" s="3" t="s">
        <v>53</v>
      </c>
      <c r="B17" t="b">
        <v>0</v>
      </c>
      <c r="D17" t="b">
        <v>0</v>
      </c>
      <c r="G17" t="b">
        <v>1</v>
      </c>
      <c r="H17" s="6" t="s">
        <v>126</v>
      </c>
      <c r="I17" t="s">
        <v>130</v>
      </c>
    </row>
    <row r="18" spans="1:21">
      <c r="A18" s="3" t="s">
        <v>54</v>
      </c>
      <c r="B18" t="b">
        <v>1</v>
      </c>
      <c r="C18" t="s">
        <v>69</v>
      </c>
      <c r="D18" t="b">
        <v>0</v>
      </c>
      <c r="G18" t="b">
        <v>1</v>
      </c>
      <c r="H18" s="6" t="s">
        <v>143</v>
      </c>
      <c r="I18" t="s">
        <v>144</v>
      </c>
    </row>
    <row r="19" spans="1:21">
      <c r="A19" s="3" t="s">
        <v>56</v>
      </c>
      <c r="B19" t="b">
        <v>0</v>
      </c>
      <c r="D19" t="b">
        <v>0</v>
      </c>
      <c r="G19" t="b">
        <v>1</v>
      </c>
      <c r="H19" s="6" t="s">
        <v>119</v>
      </c>
      <c r="I19" t="s">
        <v>145</v>
      </c>
    </row>
    <row r="20" spans="1:21">
      <c r="A20" s="3" t="s">
        <v>57</v>
      </c>
      <c r="B20" t="b">
        <v>0</v>
      </c>
      <c r="D20" t="b">
        <v>0</v>
      </c>
      <c r="G20" t="b">
        <v>1</v>
      </c>
      <c r="H20" s="6" t="s">
        <v>146</v>
      </c>
      <c r="I20" t="s">
        <v>147</v>
      </c>
    </row>
    <row r="21" spans="1:21">
      <c r="A21" s="3" t="s">
        <v>58</v>
      </c>
      <c r="B21" t="b">
        <v>0</v>
      </c>
      <c r="D21" t="b">
        <v>0</v>
      </c>
      <c r="G21" t="b">
        <v>1</v>
      </c>
      <c r="H21" t="s">
        <v>148</v>
      </c>
      <c r="I21" t="s">
        <v>127</v>
      </c>
    </row>
    <row r="22" spans="1:21">
      <c r="A22" s="3" t="s">
        <v>59</v>
      </c>
      <c r="B22" t="b">
        <v>0</v>
      </c>
      <c r="D22" t="b">
        <v>0</v>
      </c>
      <c r="G22" t="b">
        <v>1</v>
      </c>
      <c r="H22" s="6" t="s">
        <v>126</v>
      </c>
      <c r="I22" t="s">
        <v>130</v>
      </c>
    </row>
    <row r="23" spans="1:21">
      <c r="A23" s="3" t="s">
        <v>60</v>
      </c>
      <c r="B23" t="b">
        <v>1</v>
      </c>
      <c r="C23" t="s">
        <v>69</v>
      </c>
      <c r="D23" t="b">
        <v>1</v>
      </c>
      <c r="E23" t="s">
        <v>60</v>
      </c>
      <c r="F23" t="s">
        <v>149</v>
      </c>
      <c r="G23" t="b">
        <v>0</v>
      </c>
      <c r="I23" t="s">
        <v>144</v>
      </c>
    </row>
    <row r="24" spans="1:21">
      <c r="A24" s="3" t="s">
        <v>61</v>
      </c>
      <c r="B24" t="b">
        <v>0</v>
      </c>
      <c r="D24" t="b">
        <v>0</v>
      </c>
      <c r="G24" t="b">
        <v>1</v>
      </c>
      <c r="H24" s="6" t="s">
        <v>119</v>
      </c>
      <c r="I24" t="s">
        <v>150</v>
      </c>
      <c r="K24" t="s">
        <v>151</v>
      </c>
    </row>
    <row r="25" spans="1:21">
      <c r="A25" s="3" t="s">
        <v>62</v>
      </c>
      <c r="B25" t="b">
        <v>0</v>
      </c>
      <c r="D25" t="b">
        <v>0</v>
      </c>
      <c r="G25" t="b">
        <v>1</v>
      </c>
      <c r="H25" s="6" t="s">
        <v>126</v>
      </c>
      <c r="I25" t="s">
        <v>150</v>
      </c>
    </row>
    <row r="26" spans="1:21">
      <c r="A26" s="3" t="s">
        <v>63</v>
      </c>
      <c r="B26" t="b">
        <v>0</v>
      </c>
      <c r="D26" t="b">
        <v>1</v>
      </c>
      <c r="E26" t="s">
        <v>63</v>
      </c>
      <c r="F26" t="s">
        <v>95</v>
      </c>
      <c r="G26" t="b">
        <v>1</v>
      </c>
      <c r="H26" s="6" t="s">
        <v>119</v>
      </c>
      <c r="I26" t="s">
        <v>127</v>
      </c>
    </row>
    <row r="27" spans="1:21">
      <c r="A27" s="3" t="s">
        <v>64</v>
      </c>
      <c r="B27" t="b">
        <v>0</v>
      </c>
      <c r="D27" t="b">
        <v>0</v>
      </c>
      <c r="G27" t="b">
        <v>1</v>
      </c>
      <c r="H27" t="s">
        <v>133</v>
      </c>
      <c r="I27" t="s">
        <v>152</v>
      </c>
    </row>
    <row r="28" spans="1:21">
      <c r="A28" s="3" t="s">
        <v>65</v>
      </c>
      <c r="B28" t="b">
        <v>0</v>
      </c>
      <c r="D28" t="b">
        <v>0</v>
      </c>
      <c r="G28" t="b">
        <v>1</v>
      </c>
      <c r="H28" s="6" t="s">
        <v>126</v>
      </c>
      <c r="I28" t="s">
        <v>130</v>
      </c>
    </row>
    <row r="29" spans="1:21">
      <c r="A29" s="3" t="s">
        <v>66</v>
      </c>
      <c r="B29" t="b">
        <v>1</v>
      </c>
      <c r="C29" t="s">
        <v>19</v>
      </c>
      <c r="D29" t="b">
        <v>0</v>
      </c>
      <c r="G29" t="b">
        <v>0</v>
      </c>
      <c r="I29" t="s">
        <v>153</v>
      </c>
    </row>
    <row r="30" spans="1:21">
      <c r="A30" s="3" t="s">
        <v>68</v>
      </c>
      <c r="B30" t="b">
        <v>0</v>
      </c>
      <c r="D30" t="b">
        <v>0</v>
      </c>
      <c r="G30" t="b">
        <v>1</v>
      </c>
      <c r="H30" t="s">
        <v>154</v>
      </c>
      <c r="I30" t="s">
        <v>155</v>
      </c>
    </row>
    <row r="31" spans="1:21">
      <c r="A31" s="3" t="s">
        <v>71</v>
      </c>
      <c r="B31" t="b">
        <v>1</v>
      </c>
      <c r="C31" t="s">
        <v>19</v>
      </c>
      <c r="D31" t="b">
        <v>0</v>
      </c>
      <c r="G31" t="b">
        <v>0</v>
      </c>
      <c r="I31" t="s">
        <v>97</v>
      </c>
      <c r="M31" t="s">
        <v>71</v>
      </c>
      <c r="N31" t="b">
        <v>0</v>
      </c>
      <c r="P31" t="b">
        <v>0</v>
      </c>
      <c r="S31" t="b">
        <v>1</v>
      </c>
      <c r="T31" t="s">
        <v>119</v>
      </c>
      <c r="U31" t="s">
        <v>156</v>
      </c>
    </row>
    <row r="32" spans="1:21">
      <c r="A32" s="3" t="s">
        <v>72</v>
      </c>
      <c r="B32" t="b">
        <v>0</v>
      </c>
      <c r="D32" t="b">
        <v>0</v>
      </c>
      <c r="G32" t="b">
        <v>1</v>
      </c>
      <c r="H32" s="6" t="s">
        <v>126</v>
      </c>
      <c r="I32" t="s">
        <v>130</v>
      </c>
    </row>
    <row r="33" spans="1:21">
      <c r="A33" s="3" t="s">
        <v>73</v>
      </c>
      <c r="B33" t="b">
        <v>1</v>
      </c>
      <c r="C33" t="s">
        <v>19</v>
      </c>
      <c r="D33" t="b">
        <v>1</v>
      </c>
      <c r="E33" t="s">
        <v>73</v>
      </c>
      <c r="F33" t="s">
        <v>157</v>
      </c>
      <c r="G33" t="b">
        <v>0</v>
      </c>
      <c r="I33" t="s">
        <v>158</v>
      </c>
      <c r="M33" t="s">
        <v>73</v>
      </c>
      <c r="N33" t="b">
        <v>0</v>
      </c>
      <c r="P33" t="b">
        <v>0</v>
      </c>
      <c r="S33" t="b">
        <v>1</v>
      </c>
      <c r="T33" t="s">
        <v>119</v>
      </c>
      <c r="U33" t="s">
        <v>159</v>
      </c>
    </row>
    <row r="34" spans="1:21">
      <c r="A34" s="3" t="s">
        <v>74</v>
      </c>
      <c r="B34" t="b">
        <v>0</v>
      </c>
      <c r="D34" t="b">
        <v>1</v>
      </c>
      <c r="E34" t="s">
        <v>74</v>
      </c>
      <c r="F34" t="s">
        <v>110</v>
      </c>
      <c r="G34" t="b">
        <v>1</v>
      </c>
      <c r="H34" t="s">
        <v>160</v>
      </c>
      <c r="I34" t="s">
        <v>155</v>
      </c>
    </row>
    <row r="35" spans="1:21">
      <c r="A35" s="3" t="s">
        <v>75</v>
      </c>
      <c r="B35" t="b">
        <v>0</v>
      </c>
      <c r="D35" t="b">
        <v>1</v>
      </c>
      <c r="E35" t="s">
        <v>75</v>
      </c>
      <c r="F35" t="s">
        <v>161</v>
      </c>
      <c r="G35" t="b">
        <v>1</v>
      </c>
      <c r="H35" s="6" t="s">
        <v>126</v>
      </c>
      <c r="I35" t="s">
        <v>158</v>
      </c>
    </row>
    <row r="36" spans="1:21">
      <c r="A36" s="3" t="s">
        <v>77</v>
      </c>
      <c r="B36" t="b">
        <v>0</v>
      </c>
      <c r="D36" t="b">
        <v>0</v>
      </c>
      <c r="G36" t="b">
        <v>0</v>
      </c>
      <c r="H36" t="s">
        <v>119</v>
      </c>
      <c r="I36" t="s">
        <v>162</v>
      </c>
      <c r="M36" t="s">
        <v>77</v>
      </c>
      <c r="N36" t="b">
        <v>0</v>
      </c>
      <c r="P36" t="b">
        <v>0</v>
      </c>
      <c r="S36" t="b">
        <v>1</v>
      </c>
      <c r="T36" t="s">
        <v>119</v>
      </c>
      <c r="U36" t="s">
        <v>163</v>
      </c>
    </row>
    <row r="37" spans="1:21">
      <c r="A37" s="3" t="s">
        <v>79</v>
      </c>
      <c r="B37" t="b">
        <v>0</v>
      </c>
      <c r="D37" t="b">
        <v>0</v>
      </c>
      <c r="G37" t="b">
        <v>1</v>
      </c>
      <c r="H37" s="6" t="s">
        <v>126</v>
      </c>
      <c r="I37" t="s">
        <v>152</v>
      </c>
    </row>
    <row r="38" spans="1:21">
      <c r="A38" s="3" t="s">
        <v>80</v>
      </c>
      <c r="B38" t="b">
        <v>0</v>
      </c>
      <c r="D38" t="b">
        <v>0</v>
      </c>
      <c r="G38" t="b">
        <v>0</v>
      </c>
      <c r="H38" t="s">
        <v>119</v>
      </c>
      <c r="I38" t="s">
        <v>44</v>
      </c>
    </row>
    <row r="39" spans="1:21">
      <c r="A39" s="3" t="s">
        <v>81</v>
      </c>
      <c r="B39" t="b">
        <v>0</v>
      </c>
      <c r="D39" t="b">
        <v>1</v>
      </c>
      <c r="E39" t="s">
        <v>81</v>
      </c>
      <c r="F39" t="s">
        <v>157</v>
      </c>
      <c r="G39" t="b">
        <v>1</v>
      </c>
      <c r="H39" t="s">
        <v>133</v>
      </c>
      <c r="I39" t="s">
        <v>158</v>
      </c>
    </row>
    <row r="40" spans="1:21">
      <c r="A40" s="3" t="s">
        <v>82</v>
      </c>
      <c r="B40" t="b">
        <v>0</v>
      </c>
      <c r="D40" t="b">
        <v>0</v>
      </c>
      <c r="G40" t="b">
        <v>1</v>
      </c>
      <c r="H40" t="s">
        <v>119</v>
      </c>
      <c r="I40" t="s">
        <v>164</v>
      </c>
    </row>
    <row r="41" spans="1:21">
      <c r="A41" s="3" t="s">
        <v>83</v>
      </c>
      <c r="B41" t="b">
        <v>0</v>
      </c>
      <c r="D41" t="b">
        <v>0</v>
      </c>
      <c r="G41" t="b">
        <v>1</v>
      </c>
      <c r="H41" s="6" t="s">
        <v>126</v>
      </c>
      <c r="I41" t="s">
        <v>44</v>
      </c>
    </row>
    <row r="42" spans="1:21">
      <c r="A42" s="4" t="s">
        <v>84</v>
      </c>
      <c r="B42" t="b">
        <v>0</v>
      </c>
      <c r="D42" t="b">
        <v>0</v>
      </c>
      <c r="G42" t="b">
        <v>1</v>
      </c>
      <c r="H42" t="s">
        <v>119</v>
      </c>
      <c r="I42"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Signe Møller-Skuldbøl</cp:lastModifiedBy>
  <cp:revision/>
  <dcterms:created xsi:type="dcterms:W3CDTF">2025-05-01T07:12:31Z</dcterms:created>
  <dcterms:modified xsi:type="dcterms:W3CDTF">2025-05-16T06:44:24Z</dcterms:modified>
  <cp:category/>
  <cp:contentStatus/>
</cp:coreProperties>
</file>
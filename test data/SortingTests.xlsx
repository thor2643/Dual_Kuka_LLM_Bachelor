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2"/>
  <workbookPr/>
  <mc:AlternateContent xmlns:mc="http://schemas.openxmlformats.org/markup-compatibility/2006">
    <mc:Choice Requires="x15">
      <x15ac:absPath xmlns:x15ac="http://schemas.microsoft.com/office/spreadsheetml/2010/11/ac" url="https://aaudk-my.sharepoint.com/personal/md65ew_student_aau_dk/Documents/AAU - Fælles mapper til projekter/P6_Project/Tests/Sorting Test/"/>
    </mc:Choice>
  </mc:AlternateContent>
  <xr:revisionPtr revIDLastSave="1060" documentId="13_ncr:1_{CC0CAB8D-D5F6-4F57-B6CE-0A67DD209536}" xr6:coauthVersionLast="47" xr6:coauthVersionMax="47" xr10:uidLastSave="{781EC454-FA3F-4498-A562-151595A01065}"/>
  <bookViews>
    <workbookView xWindow="-108" yWindow="-108" windowWidth="23256" windowHeight="13896" firstSheet="1" activeTab="1" xr2:uid="{2F772D46-C74F-4984-BA9B-9A1AFF351199}"/>
  </bookViews>
  <sheets>
    <sheet name="Test Overview" sheetId="6" r:id="rId1"/>
    <sheet name="Sort Fruits" sheetId="1" r:id="rId2"/>
    <sheet name="Sort LEGO size" sheetId="3" r:id="rId3"/>
    <sheet name="Sort Waste"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8" i="1" l="1"/>
  <c r="G9" i="1"/>
  <c r="B29" i="6"/>
  <c r="D29" i="6"/>
  <c r="F24" i="3"/>
  <c r="F37" i="1"/>
  <c r="G23" i="1"/>
  <c r="F24" i="1"/>
  <c r="K23" i="1"/>
  <c r="F23" i="1"/>
  <c r="E23" i="1"/>
  <c r="F36" i="1"/>
  <c r="E36" i="1"/>
  <c r="L34" i="1"/>
  <c r="G36" i="1"/>
  <c r="J35" i="1"/>
  <c r="H36" i="1"/>
  <c r="O33" i="3"/>
  <c r="N34" i="3"/>
  <c r="M34" i="3"/>
  <c r="H36" i="3"/>
  <c r="L35" i="3"/>
  <c r="L21" i="1"/>
  <c r="K21" i="1"/>
  <c r="N23" i="3"/>
  <c r="M23" i="3"/>
  <c r="J23" i="3"/>
  <c r="O9" i="3"/>
  <c r="N9" i="3"/>
  <c r="K8" i="1"/>
  <c r="K6" i="1"/>
  <c r="F9" i="1"/>
  <c r="E9" i="1"/>
  <c r="K23" i="3"/>
  <c r="I9" i="3"/>
  <c r="N5" i="3"/>
  <c r="N6" i="3"/>
  <c r="N7" i="3"/>
  <c r="N8" i="3"/>
  <c r="N4" i="3"/>
  <c r="M9" i="3"/>
  <c r="M8" i="3"/>
  <c r="M7" i="3"/>
  <c r="M6" i="3"/>
  <c r="B8" i="6"/>
  <c r="B7" i="6"/>
  <c r="E9" i="3"/>
  <c r="B6" i="6"/>
  <c r="M5" i="3"/>
  <c r="M4" i="3"/>
  <c r="H23" i="3"/>
  <c r="H9" i="3"/>
  <c r="G6" i="1"/>
  <c r="G5" i="1"/>
  <c r="B23" i="3"/>
  <c r="H10" i="1"/>
  <c r="B9" i="6"/>
  <c r="H9" i="1"/>
  <c r="B4" i="6"/>
  <c r="B5" i="6"/>
  <c r="F9" i="3"/>
  <c r="G9" i="3"/>
  <c r="B9" i="3"/>
  <c r="H23" i="1"/>
  <c r="B23" i="1"/>
  <c r="B9" i="1"/>
  <c r="D39" i="6"/>
  <c r="C39" i="6"/>
  <c r="B39" i="6"/>
  <c r="D38" i="6"/>
  <c r="C38" i="6"/>
  <c r="B38" i="6"/>
  <c r="D36" i="6"/>
  <c r="C36" i="6"/>
  <c r="B36" i="6"/>
  <c r="D35" i="6"/>
  <c r="C35" i="6"/>
  <c r="B35" i="6"/>
  <c r="D25" i="6"/>
  <c r="C25" i="6"/>
  <c r="B25" i="6"/>
  <c r="D23" i="6"/>
  <c r="C23" i="6"/>
  <c r="B23" i="6"/>
  <c r="D20" i="6"/>
  <c r="C20" i="6"/>
  <c r="D8" i="6"/>
  <c r="D7" i="6"/>
  <c r="C7" i="6"/>
  <c r="C5" i="6"/>
  <c r="D5" i="6"/>
  <c r="D4" i="6"/>
  <c r="C4" i="6"/>
  <c r="B14" i="6"/>
  <c r="B12" i="6" l="1"/>
</calcChain>
</file>

<file path=xl/sharedStrings.xml><?xml version="1.0" encoding="utf-8"?>
<sst xmlns="http://schemas.openxmlformats.org/spreadsheetml/2006/main" count="293" uniqueCount="147">
  <si>
    <t>Sim Pipeline</t>
  </si>
  <si>
    <t>.</t>
  </si>
  <si>
    <t>Sort Fruits</t>
  </si>
  <si>
    <t>Sort LEGO Size</t>
  </si>
  <si>
    <t>Sort Waste</t>
  </si>
  <si>
    <t>Successful Tasks w/o Reprompts</t>
  </si>
  <si>
    <t>Task</t>
  </si>
  <si>
    <t xml:space="preserve">Overall remarks </t>
  </si>
  <si>
    <t>Initial prompt</t>
  </si>
  <si>
    <t>Successful Tasks w. Explainer</t>
  </si>
  <si>
    <t>Avg. Reattempts</t>
  </si>
  <si>
    <t>Sort Screwdrivers</t>
  </si>
  <si>
    <t>Avg. Time w/o reattempts [min:sec]</t>
  </si>
  <si>
    <t>Avg. Time w. reattempts [min:sec]</t>
  </si>
  <si>
    <t>='Sort LEGO size'!K4</t>
  </si>
  <si>
    <t>Avg. Cost</t>
  </si>
  <si>
    <t>Success w/o Reprompts</t>
  </si>
  <si>
    <t>Reprompt succes</t>
  </si>
  <si>
    <t>Total Success w. Reprompts</t>
  </si>
  <si>
    <t>Real Pipeline</t>
  </si>
  <si>
    <t>Sort By Size</t>
  </si>
  <si>
    <t>Sort By Color</t>
  </si>
  <si>
    <t>Success 
(Real Only)</t>
  </si>
  <si>
    <t>Success 
(System)</t>
  </si>
  <si>
    <t>Avg. Task Completion Time [min:sec]</t>
  </si>
  <si>
    <t>Avg. Task Termination Time [min:sec]</t>
  </si>
  <si>
    <t>Avg. Cost for Completed Tasks</t>
  </si>
  <si>
    <t>Avg. Cost for All Tasks</t>
  </si>
  <si>
    <t>Success (Real Only)</t>
  </si>
  <si>
    <t>Success (System)</t>
  </si>
  <si>
    <t>Avg. Sorting Ratio</t>
  </si>
  <si>
    <t>Sim Pipeline on Real Cell</t>
  </si>
  <si>
    <t>Column1</t>
  </si>
  <si>
    <t>Success</t>
  </si>
  <si>
    <t>Avg. Task Complete Time [min:sec]</t>
  </si>
  <si>
    <t>Total Success</t>
  </si>
  <si>
    <t>Run
Number</t>
  </si>
  <si>
    <t>Error Cause</t>
  </si>
  <si>
    <t>Comments</t>
  </si>
  <si>
    <t>Success
with explainer</t>
  </si>
  <si>
    <t>Attempts</t>
  </si>
  <si>
    <t>Time Taken [min]</t>
  </si>
  <si>
    <t>Cost $</t>
  </si>
  <si>
    <t>Time w/o repromtps</t>
  </si>
  <si>
    <t>Time w. reprompts</t>
  </si>
  <si>
    <t xml:space="preserve">It attempted to move one of the apples with the right arm, which it could not reach, and it tried a lot of times before using the left instead. Additionally the gripper response where incorrect, as they told socartes that the gripper was holding a object when it did not. As such the system performed unnecessary movements with empty grippers. </t>
  </si>
  <si>
    <t>min</t>
  </si>
  <si>
    <t>N/A</t>
  </si>
  <si>
    <t>1) It ended the run too soon, asking for verification of the next move.                                                                                                2) The grippers returend that they held a object when they did not, so socrates tought it was finnished when handling the last banana. We where so close ;(                                                                                                       3) It performed a lot of bad grasps. When there was a 2 fruits left, the ros2 newtork broke ;(</t>
  </si>
  <si>
    <t>1)                                                                                             2) It gussed the position of the bananas for a while instead of searching for them.                         3)</t>
  </si>
  <si>
    <t>m:sec</t>
  </si>
  <si>
    <t>1) The 3f grippers told that it held a object when they did not, so socrates tought it was finnished when handling the last apple. We where so close again ;(                                         2) It ended the loop when it was not compleeted. Socrates hallucinated that there wher no more fuits left, when there where in fact 1 apple and 2 banana.                                               3) Worked the 3 time :D</t>
  </si>
  <si>
    <t>1) It often picked up an apple which was already in the bowl.                                                          2)  It gussed the position of the bananas for a while instead of searching for them.                      3) Failed a gasp on a banana, but it got it in the end.</t>
  </si>
  <si>
    <t>sec avg</t>
  </si>
  <si>
    <t>It grasped objects that where already in the bowl</t>
  </si>
  <si>
    <t>1) The left arm ended in a home postion where the joints where blocking the right arm. So it could not pick up the last banana. This arm position also blocked the line of sight to the last banana, it concluded that it was done, and so did the sim_judge. It was a false positive.</t>
  </si>
  <si>
    <r>
      <rPr>
        <b/>
        <sz val="11"/>
        <color rgb="FF000000"/>
        <rFont val="Aptos Narrow"/>
        <scheme val="minor"/>
      </rPr>
      <t xml:space="preserve">1) </t>
    </r>
    <r>
      <rPr>
        <sz val="11"/>
        <color rgb="FF000000"/>
        <rFont val="Aptos Narrow"/>
        <scheme val="minor"/>
      </rPr>
      <t>It grasped objects that where already in the bowl. The left arm cam</t>
    </r>
  </si>
  <si>
    <t>min total</t>
  </si>
  <si>
    <t>Avg.</t>
  </si>
  <si>
    <t>Avg (success)</t>
  </si>
  <si>
    <t>Sort the fruit. Drop-off point for left bowl is [0.95, 0.4, 0.25, 0, 0, 0] and drop-off point for right bowl is [0.05, 0.4, 0.25, 0, 0, 0].</t>
  </si>
  <si>
    <t>Bananas left</t>
  </si>
  <si>
    <t>Apples Left</t>
  </si>
  <si>
    <t>It completed the task before the tool list from the simulation was empty. However, it did not call any of the remaining tools. Instead it kept double-checking if the task was completed by looking for apples and bananas until the list got empty. A task_complete function was added afterwards.</t>
  </si>
  <si>
    <t>10.02</t>
  </si>
  <si>
    <t>It failed because it found the bananas that had already been sorted and tried to pick one of them up resulting in an emergency stop.</t>
  </si>
  <si>
    <t>It was run using the tool list from run3</t>
  </si>
  <si>
    <t>5</t>
  </si>
  <si>
    <t>It completed with function calls from the simulation remaining and called task_complete() to finish.</t>
  </si>
  <si>
    <t>6.38</t>
  </si>
  <si>
    <t>4.92</t>
  </si>
  <si>
    <t>6</t>
  </si>
  <si>
    <t>Avg. sorting rate</t>
  </si>
  <si>
    <t>None</t>
  </si>
  <si>
    <t>It usually finished before the tool list was done. It often failed because it could not distinguish bananas in the containers from the banans on the table, resulting in an emergency stop when picking up. Janise would hallucinate object positions instead of using find_object.</t>
  </si>
  <si>
    <t>Bananas Left</t>
  </si>
  <si>
    <t>It found an invalid apple pose and it tried to pick up an apple in the container forcing the operator to push emergency button.</t>
  </si>
  <si>
    <t>An uncommon error.</t>
  </si>
  <si>
    <t>It started estimating banana poses without finding the bananas first.</t>
  </si>
  <si>
    <t>This was also a problem in the simulation.</t>
  </si>
  <si>
    <t>It picked up an apple with right, which required a switch but a banana was placed at the switch position. Emergency stop was pressed.</t>
  </si>
  <si>
    <t>The apple could have been picked up with left arm.</t>
  </si>
  <si>
    <t>Right arm tried to pick up a banana at a position where no bananas were present. It never used find_object to locate the bananas and thereby hallucinated positions based on Socrates' rough estimations.</t>
  </si>
  <si>
    <t>A problem that we also saw in the simulation.</t>
  </si>
  <si>
    <t>Find_object found an apple with z-values at 0.3. After that the right arm collided with the left. It was a small collision but the emergency was pressed.</t>
  </si>
  <si>
    <t>A problem that we don't usually have on the real cell but it was sometimes noticed in the simulation. It might be a ROS2 problem</t>
  </si>
  <si>
    <t>,</t>
  </si>
  <si>
    <t>Socrates generally does not have good spatial awareness, which can confuse the workflow as it states that the gripper is at an object, when that is not the case.</t>
  </si>
  <si>
    <t>Success
with Explainer</t>
  </si>
  <si>
    <t>completion rate</t>
  </si>
  <si>
    <t>compl time</t>
  </si>
  <si>
    <t>try 1 before changeing prompt</t>
  </si>
  <si>
    <t>very good round but dropped it due to fysics. also sometimes does not use the right arm so it then needs to handover.</t>
  </si>
  <si>
    <t>10 32</t>
  </si>
  <si>
    <t>One brick was sortet into the wrong container. this happened after find_object was called becouse all big bricks were sorted at that point. Sim judge did not see the brick that was sorted wrong so it finished it even though it failed the sorting.</t>
  </si>
  <si>
    <t>it had a small issue shortly where the right arm did not let go at handover but it corrected it.</t>
  </si>
  <si>
    <t>0.56</t>
  </si>
  <si>
    <t>The two first rounds it had issues with it making grasps without calling find object. making it think it had conpleted the task. 2.1: Yolo found the brick just a wrong one and it confused a lot and made a lot of ghost grasped and did not finish. 2.2 dropped some grasps and made ghost grasps, did not finish lacked 2. 2.3 dropped it once but called find object, did also make ghost grasps, but finished.</t>
  </si>
  <si>
    <t>9 40</t>
  </si>
  <si>
    <t>Called find_object many times. one time it dropped it and imeadiatly lokked for it again. it also attemped to sort bricks that were already sortet,  but it just resorted them or could not plan. some bad grasps made it drop a few bricks</t>
  </si>
  <si>
    <t>14 21</t>
  </si>
  <si>
    <t>0.88</t>
  </si>
  <si>
    <t>Did succed but said it failed due to simjudger seen mixed sizes</t>
  </si>
  <si>
    <t>Video i et styk: 3.1 blokeret for camera med arm så den ikke fandt sidste brick, error corrercter sagde forskellige størrelser bricks og fejlede den.   (--,. 3.2: lykkedes direkte men error explainor sagde den var fejlet pga den sagde den kunne se begge sizes in the boxes. We stopped it and saved tool list</t>
  </si>
  <si>
    <t>5 50</t>
  </si>
  <si>
    <t>First round Big collision between left arm and box, so it failed becouse the arm could not move. it tried a lot of times untill it ended it.  Second round: Had some errors picking the objects up midway, as it projected all grasps a little to the right, but used find objects after and finished after it had tried to grasp one of the sorted ones. But succes</t>
  </si>
  <si>
    <t xml:space="preserve">31 12 </t>
  </si>
  <si>
    <t>2.38</t>
  </si>
  <si>
    <t xml:space="preserve">4.1: Yolo found object and made the cell confused, and it used move to pose a lot, found ghost and becouse of it it sorted a brick wrong becouse it thought it was the ghost!!! the error corrected did not get that error but the error that it did not complete as it failed after hand over. 4.2: much move to pose instead of pick up. collided becouse of it and failed hand over becouse it used move to pose. did not sort after that as it did not open right arm. ghost grasps. 4.3:collided due to moove to pose. collided with left arm but did succed. </t>
  </si>
  <si>
    <t>8 04</t>
  </si>
  <si>
    <t>5: did it perfektly but error corrector said it failed due to sorting image.</t>
  </si>
  <si>
    <t>4 52</t>
  </si>
  <si>
    <t>Sort the Lego by size. Drop-off point for left bowl is [0.95, 0.4, 0.25, 0, 0, 0] and drop-off point for right bowl is [0.05, 0.4, 0.25, 0, 0, 0]. Big Legoes with a size over 0.002 go in the left bowl and small Legoes with a size under 0.002 go in the right bowl</t>
  </si>
  <si>
    <t xml:space="preserve">Handover in the beginning is fine but late it often crashes the run. it uses move_to all the time confusing and colliding. Ylo world made False detections. MAde ghost grasps. tried to grasps sorted objects. did often not finish when hand over using move_to. Error detector har dårlig view so it says it fails even though it succeds. </t>
  </si>
  <si>
    <t>23 33</t>
  </si>
  <si>
    <t>final in min</t>
  </si>
  <si>
    <t>Success
with user</t>
  </si>
  <si>
    <t>Extra num prompts</t>
  </si>
  <si>
    <t xml:space="preserve">Cost </t>
  </si>
  <si>
    <t>collided with brick as it first moved it to the hand over position, and then witout removing the brick from the pick up position, tried to grasp the previus position of the brick and move that to drop off making the right arm push the brick at drop off into another brick, making them to wide to grasp for the left arm, resulting in a collition.</t>
  </si>
  <si>
    <t>6 11</t>
  </si>
  <si>
    <t>sorted all but one correctly. it that had a very small area, due to camera error.</t>
  </si>
  <si>
    <t xml:space="preserve">So Sad it went smoth </t>
  </si>
  <si>
    <t>6 29</t>
  </si>
  <si>
    <t xml:space="preserve">Perfect </t>
  </si>
  <si>
    <t xml:space="preserve">empty tool list before task complete. NOTE: Improvement could be to have a task success detector.  it made a handover with the wrong brick so used some tool cals to take the brick back to the right side again. </t>
  </si>
  <si>
    <t>Almost perfect.  Sokrates found both legoes</t>
  </si>
  <si>
    <t>5 51</t>
  </si>
  <si>
    <t>3 05</t>
  </si>
  <si>
    <t>sec</t>
  </si>
  <si>
    <t xml:space="preserve">We changed threshold to 0.0016 on real cell.  The order is limiting, this is seen a lot at tasks with hand over, where it makes mistakes as it places the wrong cubes at hand over and then run out of tool calls. It had run a perfect round but just needed to move the last to the goal, here some more freedom or a success detector could be nice. It was wery good at reasoning abouth what to do with all the extra move to_. generally this cell seems better at reasoning and understanding, possebly due to it having the list as backup. </t>
  </si>
  <si>
    <t>Found the brick that was sorted wrong and tried to grasp it and move it to the other bin, but instead collided with box.</t>
  </si>
  <si>
    <t>Adding collition to boxes would be great. Sorted a brick wrong despite having a valid area value.</t>
  </si>
  <si>
    <t>14 32</t>
  </si>
  <si>
    <t>Collided with box, due to placement of a brick that was behind the box, and since it does not have collition box for the box it planned through it.</t>
  </si>
  <si>
    <t>Othervise very promesing</t>
  </si>
  <si>
    <t>4 47</t>
  </si>
  <si>
    <t>Point cloud error so the area was small for a big object = incorrect sorting. collided with box due to rrt planner moving though it.</t>
  </si>
  <si>
    <t>Planner planned trhough the box when going to grasp the last brick on table.</t>
  </si>
  <si>
    <t>5 22</t>
  </si>
  <si>
    <t>point cloud error, big was sorted as small + tried to plan into bin to move one that it now saw as small. Emergency stop.</t>
  </si>
  <si>
    <t>Ended up in a loop where it tried to move to a pose with the right arm.</t>
  </si>
  <si>
    <t>9 05</t>
  </si>
  <si>
    <t>7 out of ten</t>
  </si>
  <si>
    <t>Sort the Lego by size. Drop-off point for left bowl is [0.95, 0.4, 0.25, 0, 0, 0] and drop-off point for right bowl is [0.05, 0.4, 0.25, 0, 0, 0]. Big Legoes with a size over 0.0016 go in the left bowl and small Legoes with a size under 0.0016 go in the right bowl</t>
  </si>
  <si>
    <t>Try to grasp objects in bin. point cloud error so size was wrong. Planned through box=collition. Often made hand over even though the correct arm could pick it up, just becouse it was on the other side of the table. keept looping at same position when nothing happeeed.</t>
  </si>
  <si>
    <t>Sort the different waste into the three bins according to their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</si>
</sst>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409]* #,##0.00_ ;_-[$$-409]* \-#,##0.00\ ;_-[$$-409]* &quot;-&quot;??_ ;_-@_ "/>
  </numFmts>
  <fonts count="10">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1"/>
      <color rgb="FF000000"/>
      <name val="Aptos Narrow"/>
      <scheme val="minor"/>
    </font>
    <font>
      <sz val="11"/>
      <color rgb="FF000000"/>
      <name val="Aptos Narrow"/>
      <family val="2"/>
      <scheme val="minor"/>
    </font>
    <font>
      <b/>
      <sz val="11"/>
      <color rgb="FF000000"/>
      <name val="Aptos Narrow"/>
      <family val="2"/>
      <scheme val="minor"/>
    </font>
    <font>
      <b/>
      <sz val="24"/>
      <color theme="1"/>
      <name val="Aptos Narrow"/>
      <family val="2"/>
      <scheme val="minor"/>
    </font>
    <font>
      <b/>
      <sz val="24"/>
      <color rgb="FF242424"/>
      <name val="Aptos Narrow"/>
      <charset val="1"/>
    </font>
    <font>
      <sz val="11"/>
      <color rgb="FF000000"/>
      <name val="Aptos Narrow"/>
      <scheme val="minor"/>
    </font>
  </fonts>
  <fills count="6">
    <fill>
      <patternFill patternType="none"/>
    </fill>
    <fill>
      <patternFill patternType="gray125"/>
    </fill>
    <fill>
      <patternFill patternType="solid">
        <fgColor rgb="FF00B050"/>
        <bgColor indexed="64"/>
      </patternFill>
    </fill>
    <fill>
      <patternFill patternType="solid">
        <fgColor theme="5"/>
        <bgColor indexed="64"/>
      </patternFill>
    </fill>
    <fill>
      <patternFill patternType="solid">
        <fgColor theme="5" tint="0.59999389629810485"/>
        <bgColor theme="5" tint="0.59999389629810485"/>
      </patternFill>
    </fill>
    <fill>
      <patternFill patternType="solid">
        <fgColor theme="5" tint="0.79998168889431442"/>
        <bgColor theme="5" tint="0.79998168889431442"/>
      </patternFill>
    </fill>
  </fills>
  <borders count="14">
    <border>
      <left/>
      <right/>
      <top/>
      <bottom/>
      <diagonal/>
    </border>
    <border>
      <left/>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theme="5"/>
      </bottom>
      <diagonal/>
    </border>
    <border>
      <left style="thin">
        <color theme="5"/>
      </left>
      <right/>
      <top style="thin">
        <color theme="5"/>
      </top>
      <bottom style="thin">
        <color theme="5"/>
      </bottom>
      <diagonal/>
    </border>
    <border>
      <left/>
      <right style="thin">
        <color theme="5"/>
      </right>
      <top style="thin">
        <color theme="5"/>
      </top>
      <bottom style="thin">
        <color theme="5"/>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medium">
        <color indexed="64"/>
      </top>
      <bottom/>
      <diagonal/>
    </border>
    <border>
      <left style="medium">
        <color rgb="FF000000"/>
      </left>
      <right style="medium">
        <color rgb="FF000000"/>
      </right>
      <top style="medium">
        <color rgb="FF000000"/>
      </top>
      <bottom style="medium">
        <color indexed="64"/>
      </bottom>
      <diagonal/>
    </border>
    <border>
      <left/>
      <right style="medium">
        <color rgb="FF000000"/>
      </right>
      <top style="medium">
        <color rgb="FF000000"/>
      </top>
      <bottom/>
      <diagonal/>
    </border>
    <border>
      <left style="medium">
        <color rgb="FF000000"/>
      </left>
      <right/>
      <top style="medium">
        <color rgb="FF000000"/>
      </top>
      <bottom/>
      <diagonal/>
    </border>
  </borders>
  <cellStyleXfs count="2">
    <xf numFmtId="0" fontId="0" fillId="0" borderId="0"/>
    <xf numFmtId="9" fontId="1" fillId="0" borderId="0" applyFont="0" applyFill="0" applyBorder="0" applyAlignment="0" applyProtection="0"/>
  </cellStyleXfs>
  <cellXfs count="63">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wrapText="1"/>
    </xf>
    <xf numFmtId="0" fontId="0" fillId="0" borderId="0" xfId="0" applyAlignment="1">
      <alignment horizontal="center"/>
    </xf>
    <xf numFmtId="0" fontId="0" fillId="0" borderId="0" xfId="0"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xf numFmtId="0" fontId="0" fillId="0" borderId="0" xfId="1" applyNumberFormat="1" applyFont="1" applyAlignment="1">
      <alignment horizontal="center"/>
    </xf>
    <xf numFmtId="0" fontId="4" fillId="2" borderId="2" xfId="0" applyFont="1" applyFill="1" applyBorder="1"/>
    <xf numFmtId="0" fontId="5" fillId="2" borderId="3" xfId="0" applyFont="1" applyFill="1" applyBorder="1"/>
    <xf numFmtId="0" fontId="0" fillId="0" borderId="3" xfId="0" applyBorder="1" applyAlignment="1">
      <alignment vertical="center" wrapText="1"/>
    </xf>
    <xf numFmtId="0" fontId="0" fillId="0" borderId="4" xfId="0" applyBorder="1" applyAlignment="1">
      <alignment horizontal="left" vertical="center" wrapText="1"/>
    </xf>
    <xf numFmtId="2" fontId="0" fillId="0" borderId="0" xfId="0" applyNumberFormat="1" applyAlignment="1">
      <alignment horizontal="center" vertical="center"/>
    </xf>
    <xf numFmtId="49" fontId="0" fillId="0" borderId="0" xfId="0" applyNumberFormat="1" applyAlignment="1">
      <alignment horizontal="center" vertical="center"/>
    </xf>
    <xf numFmtId="0" fontId="0" fillId="0" borderId="0" xfId="0" applyAlignment="1">
      <alignment horizontal="left" vertical="center" wrapText="1"/>
    </xf>
    <xf numFmtId="10" fontId="0" fillId="0" borderId="0" xfId="0" applyNumberFormat="1" applyAlignment="1">
      <alignment horizontal="center" vertical="center"/>
    </xf>
    <xf numFmtId="0" fontId="3" fillId="2" borderId="3" xfId="0" applyFont="1" applyFill="1" applyBorder="1" applyAlignment="1">
      <alignment horizontal="left" vertical="center" wrapText="1"/>
    </xf>
    <xf numFmtId="0" fontId="0" fillId="0" borderId="3" xfId="0" applyBorder="1" applyAlignment="1">
      <alignment horizontal="left" vertical="center" wrapText="1"/>
    </xf>
    <xf numFmtId="0" fontId="6"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9" fillId="0" borderId="0" xfId="0" applyFont="1" applyAlignment="1">
      <alignment wrapText="1"/>
    </xf>
    <xf numFmtId="0" fontId="9" fillId="0" borderId="1" xfId="0" applyFont="1" applyBorder="1" applyAlignment="1">
      <alignment wrapText="1"/>
    </xf>
    <xf numFmtId="0" fontId="0" fillId="0" borderId="0" xfId="1" applyNumberFormat="1" applyFont="1" applyAlignment="1">
      <alignment horizontal="center" wrapText="1"/>
    </xf>
    <xf numFmtId="20" fontId="0" fillId="0" borderId="0" xfId="0" applyNumberFormat="1" applyAlignment="1">
      <alignment wrapText="1"/>
    </xf>
    <xf numFmtId="0" fontId="0" fillId="4" borderId="8" xfId="0" applyFill="1" applyBorder="1" applyAlignment="1">
      <alignment horizontal="center" vertical="center" wrapText="1"/>
    </xf>
    <xf numFmtId="0" fontId="0" fillId="4" borderId="8" xfId="0" applyFill="1" applyBorder="1" applyAlignment="1">
      <alignment vertical="center" wrapText="1"/>
    </xf>
    <xf numFmtId="0" fontId="0" fillId="4" borderId="8" xfId="0" applyFill="1" applyBorder="1" applyAlignment="1">
      <alignment wrapText="1"/>
    </xf>
    <xf numFmtId="20" fontId="0" fillId="4" borderId="8" xfId="0" applyNumberFormat="1" applyFill="1" applyBorder="1" applyAlignment="1">
      <alignment wrapText="1"/>
    </xf>
    <xf numFmtId="0" fontId="0" fillId="4" borderId="9" xfId="0" applyFill="1" applyBorder="1" applyAlignment="1">
      <alignment wrapText="1"/>
    </xf>
    <xf numFmtId="0" fontId="3" fillId="2" borderId="2" xfId="0" applyFont="1" applyFill="1" applyBorder="1" applyAlignment="1">
      <alignment horizontal="left" vertical="center" wrapText="1"/>
    </xf>
    <xf numFmtId="0" fontId="0" fillId="0" borderId="2" xfId="0" applyBorder="1" applyAlignment="1">
      <alignment horizontal="left" vertical="center" wrapText="1"/>
    </xf>
    <xf numFmtId="0" fontId="0" fillId="0" borderId="10" xfId="0" applyBorder="1" applyAlignment="1">
      <alignment horizontal="left" vertical="center" wrapText="1"/>
    </xf>
    <xf numFmtId="0" fontId="3" fillId="2" borderId="11" xfId="0" applyFont="1" applyFill="1" applyBorder="1" applyAlignment="1">
      <alignment horizontal="left" vertical="center" wrapText="1"/>
    </xf>
    <xf numFmtId="0" fontId="0" fillId="0" borderId="12" xfId="0" applyBorder="1" applyAlignment="1">
      <alignment horizontal="left" vertical="center" wrapText="1"/>
    </xf>
    <xf numFmtId="0" fontId="3" fillId="0" borderId="0" xfId="0" applyFont="1" applyAlignment="1">
      <alignment horizontal="left" vertical="center"/>
    </xf>
    <xf numFmtId="0" fontId="3" fillId="0" borderId="10" xfId="0" applyFont="1" applyBorder="1" applyAlignment="1">
      <alignment horizontal="left" vertical="center"/>
    </xf>
    <xf numFmtId="0" fontId="0" fillId="0" borderId="11" xfId="0" applyBorder="1" applyAlignment="1">
      <alignment horizontal="left" vertical="center" wrapText="1"/>
    </xf>
    <xf numFmtId="0" fontId="3" fillId="2" borderId="13" xfId="0" applyFont="1" applyFill="1" applyBorder="1" applyAlignment="1">
      <alignment horizontal="left" vertical="center" wrapText="1"/>
    </xf>
    <xf numFmtId="0" fontId="0" fillId="5" borderId="8" xfId="0" applyFill="1" applyBorder="1" applyAlignment="1">
      <alignment horizontal="center" vertical="center" wrapText="1"/>
    </xf>
    <xf numFmtId="0" fontId="0" fillId="5" borderId="8" xfId="0" applyFill="1" applyBorder="1" applyAlignment="1">
      <alignment vertical="center" wrapText="1"/>
    </xf>
    <xf numFmtId="0" fontId="0" fillId="5" borderId="8" xfId="0" applyFill="1" applyBorder="1" applyAlignment="1">
      <alignment wrapText="1"/>
    </xf>
    <xf numFmtId="20" fontId="0" fillId="5" borderId="8" xfId="0" applyNumberFormat="1" applyFill="1" applyBorder="1" applyAlignment="1">
      <alignment wrapText="1"/>
    </xf>
    <xf numFmtId="0" fontId="0" fillId="5" borderId="9" xfId="0" applyFill="1" applyBorder="1" applyAlignment="1">
      <alignment wrapText="1"/>
    </xf>
    <xf numFmtId="164" fontId="0" fillId="0" borderId="0" xfId="0" applyNumberFormat="1" applyAlignment="1">
      <alignment wrapText="1"/>
    </xf>
    <xf numFmtId="2" fontId="0" fillId="0" borderId="0" xfId="0" applyNumberFormat="1"/>
    <xf numFmtId="165" fontId="0" fillId="0" borderId="0" xfId="0" applyNumberFormat="1" applyAlignment="1">
      <alignment horizontal="center" vertical="center"/>
    </xf>
    <xf numFmtId="2" fontId="0" fillId="0" borderId="0" xfId="0" applyNumberFormat="1" applyAlignment="1">
      <alignment wrapText="1"/>
    </xf>
    <xf numFmtId="1" fontId="0" fillId="0" borderId="0" xfId="0" applyNumberFormat="1"/>
    <xf numFmtId="0" fontId="0" fillId="0" borderId="0" xfId="1" applyNumberFormat="1" applyFont="1" applyAlignment="1">
      <alignment horizontal="center" vertical="center" wrapText="1"/>
    </xf>
    <xf numFmtId="2" fontId="3" fillId="0" borderId="0" xfId="0" applyNumberFormat="1" applyFont="1"/>
    <xf numFmtId="2" fontId="0" fillId="0" borderId="6" xfId="0" applyNumberFormat="1" applyBorder="1" applyAlignment="1">
      <alignment horizontal="center"/>
    </xf>
    <xf numFmtId="2" fontId="0" fillId="0" borderId="7" xfId="0" applyNumberFormat="1" applyBorder="1" applyAlignment="1">
      <alignment horizontal="center"/>
    </xf>
    <xf numFmtId="0" fontId="2" fillId="3" borderId="5" xfId="0" applyFont="1" applyFill="1" applyBorder="1" applyAlignment="1">
      <alignment horizontal="center" vertical="center"/>
    </xf>
    <xf numFmtId="0" fontId="7" fillId="0" borderId="0" xfId="0" applyFont="1" applyAlignment="1">
      <alignment horizontal="center"/>
    </xf>
    <xf numFmtId="0" fontId="8" fillId="0" borderId="0" xfId="0" applyFont="1" applyAlignment="1">
      <alignment horizontal="center"/>
    </xf>
    <xf numFmtId="0" fontId="8" fillId="0" borderId="0" xfId="0" applyFont="1" applyAlignment="1">
      <alignment horizontal="center" vertical="center"/>
    </xf>
    <xf numFmtId="0" fontId="7" fillId="0" borderId="0" xfId="0" applyFont="1" applyAlignment="1">
      <alignment horizontal="center" vertical="center"/>
    </xf>
  </cellXfs>
  <cellStyles count="2">
    <cellStyle name="Normal" xfId="0" builtinId="0"/>
    <cellStyle name="Procent" xfId="1" builtinId="5"/>
  </cellStyles>
  <dxfs count="72">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
      <alignment wrapText="1"/>
    </dxf>
    <dxf>
      <alignment wrapText="1"/>
    </dxf>
    <dxf>
      <alignment wrapText="1"/>
    </dxf>
    <dxf>
      <alignment wrapText="1"/>
    </dxf>
    <dxf>
      <alignment wrapText="1"/>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
      <alignment wrapText="1"/>
    </dxf>
    <dxf>
      <alignment horizontal="general" vertical="bottom" textRotation="0" wrapText="1" indent="0" justifyLastLine="0" shrinkToFit="0" readingOrder="0"/>
    </dxf>
    <dxf>
      <alignment wrapText="1"/>
    </dxf>
    <dxf>
      <alignment horizontal="general" vertical="bottom" textRotation="0" wrapText="1" indent="0" justifyLastLine="0" shrinkToFit="0" readingOrder="0"/>
    </dxf>
    <dxf>
      <alignment wrapText="1"/>
    </dxf>
    <dxf>
      <alignment horizontal="general" vertical="bottom" textRotation="0" wrapText="1" indent="0" justifyLastLine="0" shrinkToFit="0" readingOrder="0"/>
    </dxf>
    <dxf>
      <alignment wrapText="1"/>
    </dxf>
    <dxf>
      <alignment horizontal="general" vertical="bottom" textRotation="0" wrapText="1" indent="0" justifyLastLine="0" shrinkToFit="0" readingOrder="0"/>
    </dxf>
    <dxf>
      <alignment wrapText="1"/>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
      <alignment wrapText="1"/>
    </dxf>
    <dxf>
      <alignment wrapText="1"/>
    </dxf>
    <dxf>
      <alignment wrapText="1"/>
    </dxf>
    <dxf>
      <alignment wrapText="1"/>
    </dxf>
    <dxf>
      <alignment wrapText="1"/>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vertical="center" textRotation="0" indent="0" justifyLastLine="0" shrinkToFit="0" readingOrder="0"/>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vertical="center" textRotation="0" indent="0" justifyLastLine="0" shrinkToFit="0" readingOrder="0"/>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7F39C54-644F-482B-BE44-FAA5FB54B582}" name="Table19" displayName="Table19" ref="A3:D9" totalsRowShown="0">
  <autoFilter ref="A3:D9" xr:uid="{C1CE6513-5E0F-4D75-8A91-2F56AA6604D2}">
    <filterColumn colId="0" hiddenButton="1"/>
    <filterColumn colId="1" hiddenButton="1"/>
    <filterColumn colId="2" hiddenButton="1"/>
    <filterColumn colId="3" hiddenButton="1"/>
  </autoFilter>
  <tableColumns count="4">
    <tableColumn id="1" xr3:uid="{95FD2F61-0721-4ABC-B085-E104048048A0}" name="." dataDxfId="71"/>
    <tableColumn id="2" xr3:uid="{32701F99-5402-43FE-949E-3CCBE9F75AA8}" name="Sort Fruits" dataDxfId="70"/>
    <tableColumn id="3" xr3:uid="{12974B9F-0622-4143-8B12-56196D7C47AE}" name="Sort LEGO Size" dataDxfId="69"/>
    <tableColumn id="4" xr3:uid="{7D92A00A-5B7D-4BA5-8EB7-C75E945526F3}" name="Sort Waste" dataDxfId="68"/>
  </tableColumns>
  <tableStyleInfo name="TableStyleMedium10"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CA34487-5FE1-4D1C-A3D9-19DC0A223A06}" name="Table209" displayName="Table209" ref="B11:C12" totalsRowShown="0" headerRowDxfId="67" dataDxfId="66">
  <autoFilter ref="B11:C12" xr:uid="{827FFCE7-0BDF-4CB3-8CC5-228DB40F6398}">
    <filterColumn colId="0" hiddenButton="1"/>
    <filterColumn colId="1" hiddenButton="1"/>
  </autoFilter>
  <tableColumns count="2">
    <tableColumn id="1" xr3:uid="{8EFB39FC-ABF6-4F5C-89F6-76EAD94C3774}" name="Success w/o Reprompts" dataDxfId="65">
      <calculatedColumnFormula>SUM(B4:D4)/6</calculatedColumnFormula>
    </tableColumn>
    <tableColumn id="2" xr3:uid="{9D1E16D9-1578-47E6-8CB9-A1DB83B43F02}" name="Reprompt succes" dataDxfId="64"/>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5DC66C8-05F8-448C-AA8B-987F08F8B587}" name="Table1912" displayName="Table1912" ref="A19:D25" totalsRowShown="0">
  <autoFilter ref="A19:D25" xr:uid="{75DC66C8-05F8-448C-AA8B-987F08F8B587}">
    <filterColumn colId="0" hiddenButton="1"/>
    <filterColumn colId="1" hiddenButton="1"/>
    <filterColumn colId="2" hiddenButton="1"/>
    <filterColumn colId="3" hiddenButton="1"/>
  </autoFilter>
  <tableColumns count="4">
    <tableColumn id="1" xr3:uid="{883DB9DA-D1A9-429D-B6E4-9B28CC9D9D34}" name="." dataDxfId="63"/>
    <tableColumn id="2" xr3:uid="{74ED7AD3-3D9C-4411-8CD0-DF9670B0DEB8}" name="Sort Fruits" dataDxfId="62"/>
    <tableColumn id="3" xr3:uid="{CE74873B-ADAF-482D-B180-40E0C657CB3B}" name="Sort By Size" dataDxfId="61"/>
    <tableColumn id="4" xr3:uid="{100C79FD-451B-4B14-A3E0-3BDB8CA407BC}" name="Sort By Color" dataDxfId="60"/>
  </tableColumns>
  <tableStyleInfo name="TableStyleMedium10"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AFCFBEA-C591-47C7-A2B3-34B3B1D0B8C1}" name="Table20913" displayName="Table20913" ref="B28:D29" totalsRowShown="0" headerRowDxfId="59" dataDxfId="58">
  <autoFilter ref="B28:D29" xr:uid="{9AFCFBEA-C591-47C7-A2B3-34B3B1D0B8C1}">
    <filterColumn colId="0" hiddenButton="1"/>
    <filterColumn colId="1" hiddenButton="1"/>
    <filterColumn colId="2" hiddenButton="1"/>
  </autoFilter>
  <tableColumns count="3">
    <tableColumn id="1" xr3:uid="{D1AF09A1-46EF-47DA-B5EF-762151396878}" name="Success (Real Only)" dataDxfId="57">
      <calculatedColumnFormula>(SUM('Sort Fruits'!B18:B22)+SUM('Sort LEGO size'!B18:B22))/10</calculatedColumnFormula>
    </tableColumn>
    <tableColumn id="2" xr3:uid="{667677E1-9776-4626-99B2-594FF28A470D}" name="Success (System)" dataDxfId="56"/>
    <tableColumn id="3" xr3:uid="{03B218AC-858E-4F0F-AE1E-A0CE652F234F}" name="Avg. Sorting Ratio" dataDxfId="55">
      <calculatedColumnFormula>(5*6-('Sort Fruits'!E23+'Sort Fruits'!F23)+16)/(5*6+24)</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35FA8F7-BA9A-4A10-8AD1-14F2B3E5CD0E}" name="Table191214" displayName="Table191214" ref="A34:D39" totalsRowShown="0">
  <autoFilter ref="A34:D39" xr:uid="{435FA8F7-BA9A-4A10-8AD1-14F2B3E5CD0E}">
    <filterColumn colId="0" hiddenButton="1"/>
    <filterColumn colId="1" hiddenButton="1"/>
    <filterColumn colId="2" hiddenButton="1"/>
    <filterColumn colId="3" hiddenButton="1"/>
  </autoFilter>
  <tableColumns count="4">
    <tableColumn id="1" xr3:uid="{B308F49C-8323-4657-B900-108EF3C8A6F4}" name="." dataDxfId="54"/>
    <tableColumn id="2" xr3:uid="{C31F5FC8-C05E-414E-8D64-D1C1DA38F2EF}" name="Sort Fruits" dataDxfId="53"/>
    <tableColumn id="3" xr3:uid="{7E7D4A77-0BDA-4E80-A894-F94109B5C20E}" name="Sort By Size" dataDxfId="52"/>
    <tableColumn id="4" xr3:uid="{CE9676E9-CBE8-4114-99EA-5DC88E62CFBE}" name="Column1" dataDxfId="51"/>
  </tableColumns>
  <tableStyleInfo name="TableStyleMedium10"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69E1BD-9406-40C5-9433-BA6CF4985B59}" name="Table2121317" displayName="Table2121317" ref="A3:H10" totalsRowShown="0" headerRowDxfId="50">
  <autoFilter ref="A3:H10" xr:uid="{8469E1BD-9406-40C5-9433-BA6CF4985B5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7029E0F-9E88-46C8-9FAD-EA305643D63E}" name="Run_x000a_Number" dataDxfId="49"/>
    <tableColumn id="2" xr3:uid="{9EB4ED21-2124-4AA4-BD43-49555A4FCBAC}" name="Success" dataDxfId="48"/>
    <tableColumn id="3" xr3:uid="{3BBE8F74-81F5-492A-A1CF-600836563135}" name="Error Cause" dataDxfId="47"/>
    <tableColumn id="4" xr3:uid="{7FE1123A-E801-4B09-BCDA-80584D4A8615}" name="Comments"/>
    <tableColumn id="5" xr3:uid="{88404D83-73D6-4D94-8333-A7F9B23A95FF}" name="Success_x000a_with explainer"/>
    <tableColumn id="7" xr3:uid="{50D944D8-209B-4F3E-882A-D86F5986D9EC}" name="Attempts"/>
    <tableColumn id="6" xr3:uid="{FE32A974-2F27-464C-BF1D-1EEE1BAA1394}" name="Time Taken [min]"/>
    <tableColumn id="8" xr3:uid="{37B19E36-926E-42E6-AC30-B3112F050979}" name="Cost $"/>
  </tableColumns>
  <tableStyleInfo name="TableStyleMedium10"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3AAEC8-AE80-4B4D-8E70-C169A129896D}" name="Table21213173" displayName="Table21213173" ref="A17:H23" totalsRowShown="0" headerRowDxfId="46">
  <autoFilter ref="A17:H23" xr:uid="{E33AAEC8-AE80-4B4D-8E70-C169A129896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10C6ED1-A2F1-40A2-9AF6-7D0E5EC30CD7}" name="Run_x000a_Number" dataDxfId="45"/>
    <tableColumn id="2" xr3:uid="{CA65DA54-E4C6-429C-9195-A1BDBD7DBB30}" name="Success" dataDxfId="44"/>
    <tableColumn id="3" xr3:uid="{CA5C6CF4-495A-4F0C-9D5D-2641D68B0F55}" name="Error Cause" dataDxfId="43"/>
    <tableColumn id="4" xr3:uid="{61F57008-2D22-4DD2-B27F-181FED9DCBC9}" name="Comments"/>
    <tableColumn id="5" xr3:uid="{8CC036B0-206D-493C-8F7A-273B5469A8D8}" name="Bananas left"/>
    <tableColumn id="7" xr3:uid="{4DA593CE-3E23-47B7-A4FC-355937C8C745}" name="Apples Left"/>
    <tableColumn id="6" xr3:uid="{43AEA289-69E3-40B9-81E7-581D1BC89830}" name="Time Taken [min]"/>
    <tableColumn id="8" xr3:uid="{EEA07BED-2861-4BBA-91ED-DFE745141E47}" name="Cost $"/>
  </tableColumns>
  <tableStyleInfo name="TableStyleMedium10"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4DDD58-AEFF-4537-ADD8-D02A29C32205}" name="Table212131734" displayName="Table212131734" ref="A30:H36" totalsRowShown="0" headerRowDxfId="42">
  <autoFilter ref="A30:H36" xr:uid="{084DDD58-AEFF-4537-ADD8-D02A29C3220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2CA5BE6-15A3-4A38-A54C-2B9AC357C197}" name="Run_x000a_Number" dataDxfId="41"/>
    <tableColumn id="2" xr3:uid="{66E05041-D941-4406-9E8B-CF360AE01186}" name="Success" dataDxfId="40"/>
    <tableColumn id="3" xr3:uid="{D2C57677-24B8-4E60-AFB5-C129B63658B4}" name="Error Cause" dataDxfId="39"/>
    <tableColumn id="4" xr3:uid="{CD949EA8-8449-45D4-BFED-1493DF4B8B05}" name="Comments"/>
    <tableColumn id="5" xr3:uid="{6FB32421-B889-4A3E-832F-A29E57AFB57C}" name="Bananas Left"/>
    <tableColumn id="7" xr3:uid="{C5E8FE85-6D6A-4984-BA92-45DEF5769A4D}" name="Apples Left"/>
    <tableColumn id="6" xr3:uid="{A5D81D25-BD5B-4D8C-8652-121D5AA41240}" name="Time Taken [min]"/>
    <tableColumn id="8" xr3:uid="{9C72F77A-99A1-4DEA-8F59-61CF66E157DB}" name="Cost $"/>
  </tableColumns>
  <tableStyleInfo name="TableStyleMedium10"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E39BC9-7362-4869-8CDD-679B978FD33B}" name="Table21213176" displayName="Table21213176" ref="A3:H9" totalsRowShown="0" headerRowDxfId="38">
  <autoFilter ref="A3:H9" xr:uid="{26E39BC9-7362-4869-8CDD-679B978FD33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8246ED5-171C-489E-A580-D061745A31DC}" name="Run_x000a_Number" dataDxfId="37"/>
    <tableColumn id="2" xr3:uid="{C26FDE15-9B08-4664-B13F-26E4118CABBB}" name="Success" dataDxfId="36"/>
    <tableColumn id="3" xr3:uid="{0C0CDA07-F395-467E-87CC-3F52755DE606}" name="Error Cause" dataDxfId="35"/>
    <tableColumn id="4" xr3:uid="{FFF950FD-F763-4CCE-B40C-FB83E19019E7}" name="Comments" dataDxfId="34"/>
    <tableColumn id="5" xr3:uid="{227C203A-D84A-4225-8FA8-18509936E220}" name="Success_x000a_with Explainer" dataDxfId="33"/>
    <tableColumn id="7" xr3:uid="{EA7418B0-DAF8-4E31-A89D-AC4D2BEB3DAE}" name="Attempts" dataDxfId="32"/>
    <tableColumn id="6" xr3:uid="{FDC98FD5-1A8D-4C4D-A04C-830D053E716E}" name="Time Taken [min]" dataDxfId="31"/>
    <tableColumn id="8" xr3:uid="{EF788261-D950-44EF-B153-56BA9698F006}" name="Cost $" dataDxfId="30"/>
  </tableColumns>
  <tableStyleInfo name="TableStyleMedium10"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4F929DB-F89A-4B6A-8C6C-2740EE72B44F}" name="Table212131737" displayName="Table212131737" ref="A17:H24" totalsRowCount="1" headerRowDxfId="29">
  <autoFilter ref="A17:H23" xr:uid="{D4F929DB-F89A-4B6A-8C6C-2740EE72B4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1D5FAA1-4949-49EA-ADA0-46D3F40572FF}" name="Run_x000a_Number" dataDxfId="27" totalsRowDxfId="28"/>
    <tableColumn id="2" xr3:uid="{EA824BDC-5218-434E-9C9F-3CDD53E2FCD8}" name="Success" dataDxfId="25" totalsRowDxfId="26"/>
    <tableColumn id="3" xr3:uid="{E982D6D5-5F92-4AB9-96C3-E4FBD99BE71F}" name="Error Cause" dataDxfId="23" totalsRowDxfId="24"/>
    <tableColumn id="4" xr3:uid="{412D1A1A-9F06-45CE-A43D-E34BEB8CB285}" name="Comments" dataDxfId="21" totalsRowDxfId="22"/>
    <tableColumn id="5" xr3:uid="{0EC72AFF-A3BF-4530-80D6-CB8A5D73F537}" name="Success_x000a_with user" totalsRowLabel="completion rate" dataDxfId="19" totalsRowDxfId="20"/>
    <tableColumn id="7" xr3:uid="{275B1AEE-E9C5-4EFC-8849-4B89E31509B0}" name="Extra num prompts" totalsRowFunction="custom" dataDxfId="17" totalsRowDxfId="18">
      <totalsRowFormula>(16)/24*100</totalsRowFormula>
    </tableColumn>
    <tableColumn id="6" xr3:uid="{A5245B10-8239-4E9F-A798-9311F7A0F8D5}" name="Time Taken [min]" dataDxfId="15" totalsRowDxfId="16"/>
    <tableColumn id="8" xr3:uid="{3085D20F-170F-4784-91BF-D1E261420C6D}" name="Cost " dataDxfId="13" totalsRowDxfId="14"/>
  </tableColumns>
  <tableStyleInfo name="TableStyleMedium10"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F9D87F1-15AE-4518-BAA7-27681B355829}" name="Table21213173411" displayName="Table21213173411" ref="A30:H36" totalsRowShown="0" headerRowDxfId="12">
  <autoFilter ref="A30:H36" xr:uid="{2F9D87F1-15AE-4518-BAA7-27681B35582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BD04089-FC04-4034-B0D4-5EC45A1D197D}" name="Run_x000a_Number" dataDxfId="11"/>
    <tableColumn id="2" xr3:uid="{E284B71A-819B-46FB-ACCD-4E292905C8BE}" name="Success" dataDxfId="10"/>
    <tableColumn id="3" xr3:uid="{30C4042B-4E76-4AEF-9EFF-5709AAA9D4C3}" name="Error Cause" dataDxfId="9"/>
    <tableColumn id="4" xr3:uid="{BA842131-D734-4279-B18C-FA724EAEE20A}" name="Comments" dataDxfId="8"/>
    <tableColumn id="5" xr3:uid="{95663C7A-50F6-4D34-8C54-AAA117D27A02}" name="Success_x000a_with user" dataDxfId="7"/>
    <tableColumn id="7" xr3:uid="{700CA0DC-F6C0-4903-AFA2-D22D248111E2}" name="Extra num prompts" dataDxfId="6"/>
    <tableColumn id="6" xr3:uid="{0CF2BE38-4658-4F26-90CA-5DC6797C38ED}" name="Time Taken [min]" dataDxfId="5"/>
    <tableColumn id="8" xr3:uid="{2AFCB42F-D5D3-416C-B9C8-5EDD4F2F1AAE}" name="Cost " dataDxfId="4"/>
  </tableColumns>
  <tableStyleInfo name="TableStyleMedium10"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E7DC8E3-1360-4F0F-8E9F-1E8A4826B335}" name="Table212131710" displayName="Table212131710" ref="A1:G7" totalsRowShown="0" headerRowDxfId="3">
  <autoFilter ref="A1:G7" xr:uid="{8469E1BD-9406-40C5-9433-BA6CF4985B5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2F85CAB-3C43-4D22-95BE-39E1F14319E2}" name="Run_x000a_Number" dataDxfId="2"/>
    <tableColumn id="2" xr3:uid="{4A05A8B8-F57F-4B11-AA1C-705336376A4F}" name="Success" dataDxfId="1"/>
    <tableColumn id="3" xr3:uid="{52D4B8D0-CEDD-41BC-B549-09E519CBFDE1}" name="Error Cause" dataDxfId="0"/>
    <tableColumn id="4" xr3:uid="{BA0B8DF5-5BFE-4688-85A4-FDACD492F4B6}" name="Comments"/>
    <tableColumn id="5" xr3:uid="{E1709AFA-E060-4753-ADA3-EDC724203324}" name="Success_x000a_with user"/>
    <tableColumn id="7" xr3:uid="{97CDCFF1-E982-4DE7-A888-2122093B337E}" name="Extra num prompts"/>
    <tableColumn id="6" xr3:uid="{79C29569-20F9-428C-A439-191725F87196}" name="Time Taken [min]"/>
  </tableColumns>
  <tableStyleInfo name="TableStyleMedium10"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BFD46-7AF8-4131-B1BA-E9EE57511CA6}">
  <dimension ref="A1:K43"/>
  <sheetViews>
    <sheetView topLeftCell="A3" zoomScaleNormal="100" workbookViewId="0">
      <selection activeCell="C4" sqref="C4"/>
    </sheetView>
  </sheetViews>
  <sheetFormatPr defaultRowHeight="14.45"/>
  <cols>
    <col min="1" max="1" width="14.28515625" customWidth="1"/>
    <col min="2" max="2" width="11.42578125" customWidth="1"/>
    <col min="3" max="3" width="15.7109375" bestFit="1" customWidth="1"/>
    <col min="4" max="4" width="18.7109375" customWidth="1"/>
    <col min="5" max="5" width="11.5703125" customWidth="1"/>
    <col min="6" max="6" width="18.7109375" bestFit="1" customWidth="1"/>
    <col min="7" max="7" width="41.5703125" style="2" bestFit="1" customWidth="1"/>
    <col min="10" max="10" width="19.28515625" customWidth="1"/>
    <col min="11" max="11" width="58.140625" customWidth="1"/>
  </cols>
  <sheetData>
    <row r="1" spans="1:11">
      <c r="A1" s="59" t="s">
        <v>0</v>
      </c>
      <c r="B1" s="59"/>
      <c r="C1" s="59"/>
      <c r="D1" s="59"/>
    </row>
    <row r="2" spans="1:11">
      <c r="A2" s="59"/>
      <c r="B2" s="59"/>
      <c r="C2" s="59"/>
      <c r="D2" s="59"/>
    </row>
    <row r="3" spans="1:11">
      <c r="A3" t="s">
        <v>1</v>
      </c>
      <c r="B3" t="s">
        <v>2</v>
      </c>
      <c r="C3" t="s">
        <v>3</v>
      </c>
      <c r="D3" t="s">
        <v>4</v>
      </c>
    </row>
    <row r="4" spans="1:11" ht="43.15">
      <c r="A4" s="6" t="s">
        <v>5</v>
      </c>
      <c r="B4" s="19">
        <f>'Sort Fruits'!B9</f>
        <v>0.4</v>
      </c>
      <c r="C4" s="19">
        <f>'Sort LEGO size'!B8</f>
        <v>0</v>
      </c>
      <c r="D4" s="19">
        <f>'Sort Waste'!B7</f>
        <v>0</v>
      </c>
      <c r="F4" s="22" t="s">
        <v>6</v>
      </c>
      <c r="G4" s="23" t="s">
        <v>7</v>
      </c>
      <c r="J4" s="22" t="s">
        <v>6</v>
      </c>
      <c r="K4" s="22" t="s">
        <v>8</v>
      </c>
    </row>
    <row r="5" spans="1:11" ht="43.15">
      <c r="A5" s="18" t="s">
        <v>9</v>
      </c>
      <c r="B5" s="19">
        <f>'Sort Fruits'!B9+'Sort Fruits'!E9</f>
        <v>1</v>
      </c>
      <c r="C5" s="19">
        <f>'Sort LEGO size'!E8</f>
        <v>0</v>
      </c>
      <c r="D5" s="19">
        <f>'Sort Waste'!E7</f>
        <v>0</v>
      </c>
      <c r="F5" s="20" t="s">
        <v>2</v>
      </c>
      <c r="G5" s="36"/>
      <c r="J5" s="20" t="s">
        <v>2</v>
      </c>
      <c r="K5" s="21"/>
    </row>
    <row r="6" spans="1:11" ht="28.9">
      <c r="A6" s="6" t="s">
        <v>10</v>
      </c>
      <c r="B6" s="2">
        <f>'Sort Fruits'!F9</f>
        <v>1.8</v>
      </c>
      <c r="C6" s="2"/>
      <c r="D6" s="2"/>
      <c r="F6" s="43" t="s">
        <v>11</v>
      </c>
      <c r="G6" s="42"/>
      <c r="J6" s="35" t="s">
        <v>11</v>
      </c>
      <c r="K6" s="36"/>
    </row>
    <row r="7" spans="1:11" ht="43.15">
      <c r="A7" s="6" t="s">
        <v>12</v>
      </c>
      <c r="B7" s="2">
        <f>'Sort Fruits'!G10</f>
        <v>0</v>
      </c>
      <c r="C7" s="17" t="str">
        <f>'Sort LEGO size'!J4</f>
        <v>N/A</v>
      </c>
      <c r="D7" s="17" t="str">
        <f>'Sort Waste'!J3</f>
        <v>N/A</v>
      </c>
      <c r="F7" s="41"/>
      <c r="G7" s="18"/>
      <c r="J7" s="41"/>
      <c r="K7" s="37"/>
    </row>
    <row r="8" spans="1:11" ht="43.15">
      <c r="A8" s="6" t="s">
        <v>13</v>
      </c>
      <c r="B8" s="2">
        <f>'Sort Fruits'!G10</f>
        <v>0</v>
      </c>
      <c r="C8" s="17" t="s">
        <v>14</v>
      </c>
      <c r="D8" s="17" t="str">
        <f>'Sort Waste'!K3</f>
        <v>N/A</v>
      </c>
    </row>
    <row r="9" spans="1:11">
      <c r="A9" s="3" t="s">
        <v>15</v>
      </c>
      <c r="B9" s="51">
        <f>'Sort Fruits'!H9</f>
        <v>1.258</v>
      </c>
      <c r="C9" s="2"/>
      <c r="D9" s="2"/>
    </row>
    <row r="11" spans="1:11" ht="28.9">
      <c r="B11" s="1" t="s">
        <v>16</v>
      </c>
      <c r="C11" s="1" t="s">
        <v>17</v>
      </c>
    </row>
    <row r="12" spans="1:11">
      <c r="B12" s="19">
        <f>SUM(B4:D4)/6</f>
        <v>6.6666666666666666E-2</v>
      </c>
      <c r="C12" s="19"/>
    </row>
    <row r="13" spans="1:11">
      <c r="B13" s="58" t="s">
        <v>18</v>
      </c>
      <c r="C13" s="58"/>
    </row>
    <row r="14" spans="1:11">
      <c r="B14" s="56">
        <f>16.67+(100-16.67)*0.2667</f>
        <v>38.894111000000002</v>
      </c>
      <c r="C14" s="57"/>
    </row>
    <row r="17" spans="1:7">
      <c r="A17" s="60" t="s">
        <v>19</v>
      </c>
      <c r="B17" s="59"/>
      <c r="C17" s="59"/>
      <c r="D17" s="59"/>
    </row>
    <row r="18" spans="1:7">
      <c r="A18" s="59"/>
      <c r="B18" s="59"/>
      <c r="C18" s="59"/>
      <c r="D18" s="59"/>
    </row>
    <row r="19" spans="1:7">
      <c r="A19" t="s">
        <v>1</v>
      </c>
      <c r="B19" t="s">
        <v>2</v>
      </c>
      <c r="C19" t="s">
        <v>20</v>
      </c>
      <c r="D19" t="s">
        <v>21</v>
      </c>
    </row>
    <row r="20" spans="1:7" ht="28.9">
      <c r="A20" s="6" t="s">
        <v>22</v>
      </c>
      <c r="B20" s="19">
        <v>0</v>
      </c>
      <c r="C20" s="19">
        <f>'Sort LEGO size'!B22</f>
        <v>1</v>
      </c>
      <c r="D20" s="19">
        <f>'Sort Waste'!B21</f>
        <v>0</v>
      </c>
      <c r="F20" s="22" t="s">
        <v>6</v>
      </c>
      <c r="G20" s="23" t="s">
        <v>7</v>
      </c>
    </row>
    <row r="21" spans="1:7" ht="28.9">
      <c r="A21" s="6" t="s">
        <v>23</v>
      </c>
      <c r="B21" s="2"/>
      <c r="C21" s="2"/>
      <c r="D21" s="2"/>
      <c r="F21" s="35" t="s">
        <v>2</v>
      </c>
      <c r="G21" s="21"/>
    </row>
    <row r="22" spans="1:7" ht="43.15">
      <c r="A22" s="6" t="s">
        <v>24</v>
      </c>
      <c r="B22" s="2"/>
      <c r="C22" s="2"/>
      <c r="D22" s="2"/>
      <c r="F22" s="38" t="s">
        <v>20</v>
      </c>
      <c r="G22" s="39"/>
    </row>
    <row r="23" spans="1:7" ht="43.15">
      <c r="A23" s="18" t="s">
        <v>25</v>
      </c>
      <c r="B23" s="19">
        <f>'Sort Fruits'!F23</f>
        <v>2</v>
      </c>
      <c r="C23" s="19">
        <f>'Sort LEGO size'!E22</f>
        <v>0</v>
      </c>
      <c r="D23" s="19">
        <f>'Sort Waste'!E21</f>
        <v>0</v>
      </c>
      <c r="F23" s="40"/>
      <c r="G23" s="37"/>
    </row>
    <row r="24" spans="1:7" ht="43.15">
      <c r="A24" s="6" t="s">
        <v>26</v>
      </c>
      <c r="B24" s="2"/>
      <c r="C24" s="2"/>
      <c r="D24" s="2"/>
    </row>
    <row r="25" spans="1:7" ht="28.9">
      <c r="A25" s="6" t="s">
        <v>27</v>
      </c>
      <c r="B25" s="17" t="str">
        <f>'Sort Fruits'!J19</f>
        <v>N/A</v>
      </c>
      <c r="C25" s="17" t="str">
        <f>'Sort LEGO size'!J18</f>
        <v>N/A</v>
      </c>
      <c r="D25" s="17">
        <f>'Sort Waste'!J17</f>
        <v>0</v>
      </c>
    </row>
    <row r="28" spans="1:7" ht="28.9">
      <c r="B28" s="1" t="s">
        <v>28</v>
      </c>
      <c r="C28" s="1" t="s">
        <v>29</v>
      </c>
      <c r="D28" s="2" t="s">
        <v>30</v>
      </c>
    </row>
    <row r="29" spans="1:7">
      <c r="B29" s="19">
        <f>(SUM('Sort Fruits'!B18:B22)+SUM('Sort LEGO size'!B18:B22))/10</f>
        <v>0.5</v>
      </c>
      <c r="C29" s="19"/>
      <c r="D29" s="19">
        <f>(5*6-('Sort Fruits'!E23+'Sort Fruits'!F23)+16)/(5*6+24)</f>
        <v>0.77777777777777779</v>
      </c>
    </row>
    <row r="32" spans="1:7">
      <c r="A32" s="61" t="s">
        <v>31</v>
      </c>
      <c r="B32" s="62"/>
      <c r="C32" s="62"/>
      <c r="D32" s="62"/>
    </row>
    <row r="33" spans="1:7">
      <c r="A33" s="62"/>
      <c r="B33" s="62"/>
      <c r="C33" s="62"/>
      <c r="D33" s="62"/>
    </row>
    <row r="34" spans="1:7">
      <c r="A34" t="s">
        <v>1</v>
      </c>
      <c r="B34" t="s">
        <v>2</v>
      </c>
      <c r="C34" t="s">
        <v>20</v>
      </c>
      <c r="D34" t="s">
        <v>32</v>
      </c>
    </row>
    <row r="35" spans="1:7">
      <c r="A35" s="6" t="s">
        <v>33</v>
      </c>
      <c r="B35" s="19">
        <f>'Sort Fruits'!B40</f>
        <v>0</v>
      </c>
      <c r="C35" s="19">
        <f>'Sort LEGO size'!B39</f>
        <v>0</v>
      </c>
      <c r="D35" s="19">
        <f>'Sort Waste'!B38</f>
        <v>0</v>
      </c>
      <c r="F35" s="22" t="s">
        <v>6</v>
      </c>
      <c r="G35" s="23" t="s">
        <v>7</v>
      </c>
    </row>
    <row r="36" spans="1:7" ht="43.15">
      <c r="A36" s="6" t="s">
        <v>34</v>
      </c>
      <c r="B36" s="19">
        <f>'Sort Fruits'!F40</f>
        <v>0</v>
      </c>
      <c r="C36" s="19">
        <f>'Sort LEGO size'!E39</f>
        <v>0</v>
      </c>
      <c r="D36" s="19">
        <f>'Sort Waste'!E38</f>
        <v>0</v>
      </c>
      <c r="F36" s="20" t="s">
        <v>2</v>
      </c>
      <c r="G36" s="21"/>
    </row>
    <row r="37" spans="1:7" ht="43.15">
      <c r="A37" s="18" t="s">
        <v>25</v>
      </c>
      <c r="B37" s="2"/>
      <c r="C37" s="2"/>
      <c r="D37" s="2"/>
      <c r="F37" s="35" t="s">
        <v>11</v>
      </c>
      <c r="G37" s="36"/>
    </row>
    <row r="38" spans="1:7" ht="43.15">
      <c r="A38" s="6" t="s">
        <v>26</v>
      </c>
      <c r="B38" s="17">
        <f>'Sort Fruits'!J36</f>
        <v>0</v>
      </c>
      <c r="C38" s="17">
        <f>'Sort LEGO size'!J35</f>
        <v>0</v>
      </c>
      <c r="D38" s="17">
        <f>'Sort Waste'!J34</f>
        <v>0</v>
      </c>
      <c r="F38" s="41"/>
      <c r="G38" s="37"/>
    </row>
    <row r="39" spans="1:7" ht="28.9">
      <c r="A39" s="6" t="s">
        <v>27</v>
      </c>
      <c r="B39" s="2">
        <f>'Sort Fruits'!L34</f>
        <v>45.36</v>
      </c>
      <c r="C39" s="17">
        <f>'Sort LEGO size'!K35</f>
        <v>0</v>
      </c>
      <c r="D39" s="17">
        <f>'Sort Waste'!K34</f>
        <v>0</v>
      </c>
    </row>
    <row r="42" spans="1:7">
      <c r="B42" s="58" t="s">
        <v>35</v>
      </c>
      <c r="C42" s="58"/>
    </row>
    <row r="43" spans="1:7">
      <c r="B43" s="56">
        <v>0</v>
      </c>
      <c r="C43" s="57"/>
    </row>
  </sheetData>
  <mergeCells count="7">
    <mergeCell ref="B43:C43"/>
    <mergeCell ref="B42:C42"/>
    <mergeCell ref="B13:C13"/>
    <mergeCell ref="A1:D2"/>
    <mergeCell ref="A17:D18"/>
    <mergeCell ref="A32:D33"/>
    <mergeCell ref="B14:C14"/>
  </mergeCells>
  <pageMargins left="0.7" right="0.7" top="0.75" bottom="0.75" header="0.3" footer="0.3"/>
  <pageSetup orientation="portrait" r:id="rId1"/>
  <tableParts count="5">
    <tablePart r:id="rId2"/>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9B0C8-02CF-4F3E-A5F1-0ACCA10B7DF3}">
  <dimension ref="A1:L39"/>
  <sheetViews>
    <sheetView tabSelected="1" topLeftCell="A16" zoomScale="73" workbookViewId="0">
      <selection activeCell="C19" sqref="C19"/>
    </sheetView>
  </sheetViews>
  <sheetFormatPr defaultRowHeight="14.45"/>
  <cols>
    <col min="1" max="1" width="8.7109375" customWidth="1"/>
    <col min="2" max="2" width="9.28515625" customWidth="1"/>
    <col min="3" max="3" width="48.28515625" customWidth="1"/>
    <col min="4" max="4" width="39.85546875" customWidth="1"/>
    <col min="5" max="5" width="9.85546875" customWidth="1"/>
    <col min="6" max="6" width="10.28515625" customWidth="1"/>
    <col min="7" max="7" width="10.28515625" bestFit="1" customWidth="1"/>
    <col min="10" max="10" width="10.7109375" customWidth="1"/>
    <col min="11" max="11" width="10.28515625" customWidth="1"/>
  </cols>
  <sheetData>
    <row r="1" spans="1:12">
      <c r="C1" s="59" t="s">
        <v>0</v>
      </c>
      <c r="D1" s="59"/>
    </row>
    <row r="2" spans="1:12">
      <c r="C2" s="59"/>
      <c r="D2" s="59"/>
    </row>
    <row r="3" spans="1:12" ht="43.15">
      <c r="A3" s="1" t="s">
        <v>36</v>
      </c>
      <c r="B3" s="2" t="s">
        <v>33</v>
      </c>
      <c r="C3" s="3" t="s">
        <v>37</v>
      </c>
      <c r="D3" s="2" t="s">
        <v>38</v>
      </c>
      <c r="E3" s="1" t="s">
        <v>39</v>
      </c>
      <c r="F3" s="1" t="s">
        <v>40</v>
      </c>
      <c r="G3" s="1" t="s">
        <v>41</v>
      </c>
      <c r="H3" s="2" t="s">
        <v>42</v>
      </c>
      <c r="J3" s="4" t="s">
        <v>43</v>
      </c>
      <c r="K3" s="4" t="s">
        <v>44</v>
      </c>
    </row>
    <row r="4" spans="1:12" ht="129" customHeight="1">
      <c r="A4" s="5">
        <v>1</v>
      </c>
      <c r="B4" s="2">
        <v>1</v>
      </c>
      <c r="C4" s="6"/>
      <c r="D4" s="4" t="s">
        <v>45</v>
      </c>
      <c r="E4">
        <v>0</v>
      </c>
      <c r="F4">
        <v>1</v>
      </c>
      <c r="G4">
        <v>10.5</v>
      </c>
      <c r="H4">
        <v>0.83</v>
      </c>
      <c r="I4" t="s">
        <v>46</v>
      </c>
      <c r="J4" s="16" t="s">
        <v>47</v>
      </c>
      <c r="K4" s="16" t="s">
        <v>47</v>
      </c>
    </row>
    <row r="5" spans="1:12" ht="100.9">
      <c r="A5" s="5">
        <v>2</v>
      </c>
      <c r="B5" s="2">
        <v>0</v>
      </c>
      <c r="C5" s="6" t="s">
        <v>48</v>
      </c>
      <c r="D5" s="26" t="s">
        <v>49</v>
      </c>
      <c r="E5">
        <v>0</v>
      </c>
      <c r="F5">
        <v>3</v>
      </c>
      <c r="G5">
        <f>2+7.82+16.2</f>
        <v>26.02</v>
      </c>
      <c r="H5">
        <v>1.85</v>
      </c>
      <c r="I5" t="s">
        <v>50</v>
      </c>
      <c r="J5" s="17" t="s">
        <v>47</v>
      </c>
      <c r="K5" s="17" t="s">
        <v>47</v>
      </c>
    </row>
    <row r="6" spans="1:12" ht="100.9">
      <c r="A6" s="5">
        <v>3</v>
      </c>
      <c r="B6" s="2">
        <v>0</v>
      </c>
      <c r="C6" s="6" t="s">
        <v>51</v>
      </c>
      <c r="D6" s="4" t="s">
        <v>52</v>
      </c>
      <c r="E6">
        <v>1</v>
      </c>
      <c r="F6">
        <v>3</v>
      </c>
      <c r="G6">
        <f>12.7+6.87+10.97</f>
        <v>30.54</v>
      </c>
      <c r="H6">
        <v>2.1800000000000002</v>
      </c>
      <c r="K6">
        <f>106/5</f>
        <v>21.2</v>
      </c>
      <c r="L6" t="s">
        <v>53</v>
      </c>
    </row>
    <row r="7" spans="1:12">
      <c r="A7" s="5">
        <v>4</v>
      </c>
      <c r="B7" s="2">
        <v>1</v>
      </c>
      <c r="C7" s="6"/>
      <c r="D7" s="4" t="s">
        <v>54</v>
      </c>
      <c r="E7">
        <v>0</v>
      </c>
      <c r="F7">
        <v>1</v>
      </c>
      <c r="G7">
        <v>6</v>
      </c>
      <c r="H7">
        <v>0.43</v>
      </c>
    </row>
    <row r="8" spans="1:12" ht="72.599999999999994" thickBot="1">
      <c r="A8" s="7">
        <v>5</v>
      </c>
      <c r="B8" s="8">
        <v>0</v>
      </c>
      <c r="C8" s="9" t="s">
        <v>55</v>
      </c>
      <c r="D8" s="27" t="s">
        <v>56</v>
      </c>
      <c r="E8" s="10">
        <v>0</v>
      </c>
      <c r="F8" s="10">
        <v>1</v>
      </c>
      <c r="G8" s="10">
        <v>16</v>
      </c>
      <c r="H8">
        <v>1</v>
      </c>
      <c r="K8">
        <f>(16+6+30+26+10+1)/5</f>
        <v>17.8</v>
      </c>
      <c r="L8" t="s">
        <v>57</v>
      </c>
    </row>
    <row r="9" spans="1:12">
      <c r="A9" t="s">
        <v>58</v>
      </c>
      <c r="B9" s="11">
        <f>SUM(B4:B8)/5</f>
        <v>0.4</v>
      </c>
      <c r="E9" s="11">
        <f>3/5</f>
        <v>0.6</v>
      </c>
      <c r="F9" s="11">
        <f>SUM(F4:F8)/5</f>
        <v>1.8</v>
      </c>
      <c r="G9" s="11">
        <f>SUM(G4:G8)/5</f>
        <v>17.812000000000001</v>
      </c>
      <c r="H9" s="11">
        <f>SUM(H4:H8)/5</f>
        <v>1.258</v>
      </c>
    </row>
    <row r="10" spans="1:12">
      <c r="A10" s="5" t="s">
        <v>59</v>
      </c>
      <c r="B10" s="2"/>
      <c r="C10" s="3"/>
      <c r="G10" s="2"/>
      <c r="H10">
        <f>(H4+H7+H6)/3</f>
        <v>1.1466666666666667</v>
      </c>
    </row>
    <row r="11" spans="1:12">
      <c r="C11" s="12" t="s">
        <v>8</v>
      </c>
      <c r="D11" s="13" t="s">
        <v>7</v>
      </c>
    </row>
    <row r="12" spans="1:12" ht="43.5">
      <c r="C12" s="14" t="s">
        <v>60</v>
      </c>
      <c r="D12" s="15"/>
    </row>
    <row r="14" spans="1:12" ht="15" customHeight="1"/>
    <row r="15" spans="1:12" ht="15" customHeight="1"/>
    <row r="16" spans="1:12" ht="31.15">
      <c r="C16" s="62" t="s">
        <v>19</v>
      </c>
      <c r="D16" s="62"/>
    </row>
    <row r="17" spans="1:12" ht="28.9">
      <c r="A17" s="1" t="s">
        <v>36</v>
      </c>
      <c r="B17" s="2" t="s">
        <v>33</v>
      </c>
      <c r="C17" s="3" t="s">
        <v>37</v>
      </c>
      <c r="D17" s="2" t="s">
        <v>38</v>
      </c>
      <c r="E17" s="1" t="s">
        <v>61</v>
      </c>
      <c r="F17" s="1" t="s">
        <v>62</v>
      </c>
      <c r="G17" s="1" t="s">
        <v>41</v>
      </c>
      <c r="H17" s="2" t="s">
        <v>42</v>
      </c>
      <c r="J17" s="4" t="s">
        <v>43</v>
      </c>
      <c r="K17" s="4" t="s">
        <v>44</v>
      </c>
    </row>
    <row r="18" spans="1:12" ht="86.45">
      <c r="A18" s="5">
        <v>1</v>
      </c>
      <c r="B18" s="2">
        <v>1</v>
      </c>
      <c r="C18" s="6"/>
      <c r="D18" s="4" t="s">
        <v>63</v>
      </c>
      <c r="E18">
        <v>0</v>
      </c>
      <c r="F18">
        <v>0</v>
      </c>
      <c r="G18" t="s">
        <v>64</v>
      </c>
      <c r="H18">
        <v>1.2</v>
      </c>
      <c r="I18" t="s">
        <v>46</v>
      </c>
      <c r="J18" s="16" t="s">
        <v>47</v>
      </c>
      <c r="K18" s="16" t="s">
        <v>47</v>
      </c>
    </row>
    <row r="19" spans="1:12" ht="43.15">
      <c r="A19" s="5">
        <v>2</v>
      </c>
      <c r="B19" s="2">
        <v>0</v>
      </c>
      <c r="C19" s="6" t="s">
        <v>65</v>
      </c>
      <c r="D19" s="3" t="s">
        <v>66</v>
      </c>
      <c r="E19">
        <v>1</v>
      </c>
      <c r="F19">
        <v>1</v>
      </c>
      <c r="G19" t="s">
        <v>67</v>
      </c>
      <c r="H19">
        <v>0.37</v>
      </c>
      <c r="I19" t="s">
        <v>50</v>
      </c>
      <c r="J19" s="17" t="s">
        <v>47</v>
      </c>
      <c r="K19" s="17" t="s">
        <v>47</v>
      </c>
    </row>
    <row r="20" spans="1:12" ht="43.15">
      <c r="A20" s="5">
        <v>3</v>
      </c>
      <c r="B20" s="2">
        <v>1</v>
      </c>
      <c r="C20" s="6"/>
      <c r="D20" s="4" t="s">
        <v>68</v>
      </c>
      <c r="E20">
        <v>0</v>
      </c>
      <c r="F20">
        <v>0</v>
      </c>
      <c r="G20" t="s">
        <v>69</v>
      </c>
      <c r="H20">
        <v>0.6</v>
      </c>
    </row>
    <row r="21" spans="1:12" ht="43.15">
      <c r="A21" s="5">
        <v>4</v>
      </c>
      <c r="B21" s="2">
        <v>0</v>
      </c>
      <c r="C21" s="6" t="s">
        <v>65</v>
      </c>
      <c r="D21" s="3"/>
      <c r="E21">
        <v>1</v>
      </c>
      <c r="F21">
        <v>1</v>
      </c>
      <c r="G21" t="s">
        <v>70</v>
      </c>
      <c r="H21">
        <v>0.37</v>
      </c>
      <c r="K21">
        <f>(10+5+6+10)/5</f>
        <v>6.2</v>
      </c>
      <c r="L21">
        <f>0.2*60+40</f>
        <v>52</v>
      </c>
    </row>
    <row r="22" spans="1:12">
      <c r="A22" s="7">
        <v>5</v>
      </c>
      <c r="B22" s="8">
        <v>1</v>
      </c>
      <c r="C22" s="9"/>
      <c r="D22" s="3" t="s">
        <v>66</v>
      </c>
      <c r="E22" s="10"/>
      <c r="F22" s="10"/>
      <c r="G22" s="10" t="s">
        <v>71</v>
      </c>
      <c r="H22">
        <v>0.6</v>
      </c>
    </row>
    <row r="23" spans="1:12">
      <c r="A23" t="s">
        <v>58</v>
      </c>
      <c r="B23" s="11">
        <f>SUM(B18:B22)/5</f>
        <v>0.6</v>
      </c>
      <c r="E23">
        <f>SUM(E18:E21)</f>
        <v>2</v>
      </c>
      <c r="F23">
        <f>SUM(F18:F21)</f>
        <v>2</v>
      </c>
      <c r="G23" t="e">
        <f>(G22+G21+G20+G19+G18)/5</f>
        <v>#VALUE!</v>
      </c>
      <c r="H23" s="11">
        <f>SUM(H18:H22)/5</f>
        <v>0.628</v>
      </c>
      <c r="K23">
        <f>55/60</f>
        <v>0.91666666666666663</v>
      </c>
    </row>
    <row r="24" spans="1:12" ht="43.15">
      <c r="B24" s="11"/>
      <c r="E24" s="6" t="s">
        <v>72</v>
      </c>
      <c r="F24">
        <f>((6*5)-(E23+F23))/(5*6)</f>
        <v>0.8666666666666667</v>
      </c>
    </row>
    <row r="25" spans="1:12">
      <c r="C25" s="12" t="s">
        <v>8</v>
      </c>
      <c r="D25" s="13" t="s">
        <v>7</v>
      </c>
    </row>
    <row r="26" spans="1:12" ht="100.9" customHeight="1">
      <c r="C26" s="14" t="s">
        <v>73</v>
      </c>
      <c r="D26" s="15" t="s">
        <v>74</v>
      </c>
    </row>
    <row r="29" spans="1:12" ht="31.15">
      <c r="C29" s="62" t="s">
        <v>31</v>
      </c>
      <c r="D29" s="62"/>
    </row>
    <row r="30" spans="1:12" ht="28.9">
      <c r="A30" s="1" t="s">
        <v>36</v>
      </c>
      <c r="B30" s="2" t="s">
        <v>33</v>
      </c>
      <c r="C30" s="3" t="s">
        <v>37</v>
      </c>
      <c r="D30" s="2" t="s">
        <v>38</v>
      </c>
      <c r="E30" s="1" t="s">
        <v>75</v>
      </c>
      <c r="F30" s="1" t="s">
        <v>62</v>
      </c>
      <c r="G30" s="1" t="s">
        <v>41</v>
      </c>
      <c r="H30" s="2" t="s">
        <v>42</v>
      </c>
      <c r="J30" s="4" t="s">
        <v>43</v>
      </c>
      <c r="K30" s="4" t="s">
        <v>44</v>
      </c>
    </row>
    <row r="31" spans="1:12" ht="43.15">
      <c r="A31" s="5">
        <v>1</v>
      </c>
      <c r="B31" s="2">
        <v>0</v>
      </c>
      <c r="C31" s="6" t="s">
        <v>76</v>
      </c>
      <c r="D31" t="s">
        <v>77</v>
      </c>
      <c r="E31">
        <v>2</v>
      </c>
      <c r="F31">
        <v>2</v>
      </c>
      <c r="G31">
        <v>3.25</v>
      </c>
      <c r="H31">
        <v>0.24</v>
      </c>
      <c r="I31" t="s">
        <v>46</v>
      </c>
      <c r="J31" s="16" t="s">
        <v>47</v>
      </c>
      <c r="K31" s="16" t="s">
        <v>47</v>
      </c>
    </row>
    <row r="32" spans="1:12" ht="28.9">
      <c r="A32" s="5">
        <v>2</v>
      </c>
      <c r="B32" s="2">
        <v>0</v>
      </c>
      <c r="C32" s="6" t="s">
        <v>78</v>
      </c>
      <c r="D32" t="s">
        <v>79</v>
      </c>
      <c r="E32">
        <v>3</v>
      </c>
      <c r="G32">
        <v>3</v>
      </c>
      <c r="H32">
        <v>0.22</v>
      </c>
      <c r="I32" t="s">
        <v>50</v>
      </c>
      <c r="J32" s="17" t="s">
        <v>47</v>
      </c>
      <c r="K32" s="17" t="s">
        <v>47</v>
      </c>
    </row>
    <row r="33" spans="1:12" ht="43.15">
      <c r="A33" s="5">
        <v>3</v>
      </c>
      <c r="B33" s="2">
        <v>0</v>
      </c>
      <c r="C33" s="6" t="s">
        <v>80</v>
      </c>
      <c r="D33" s="4" t="s">
        <v>81</v>
      </c>
      <c r="E33">
        <v>3</v>
      </c>
      <c r="F33">
        <v>1</v>
      </c>
      <c r="G33">
        <v>2.33</v>
      </c>
      <c r="H33">
        <v>0.19</v>
      </c>
    </row>
    <row r="34" spans="1:12" ht="57.6">
      <c r="A34" s="5">
        <v>4</v>
      </c>
      <c r="B34" s="2">
        <v>0</v>
      </c>
      <c r="C34" s="6" t="s">
        <v>82</v>
      </c>
      <c r="D34" t="s">
        <v>83</v>
      </c>
      <c r="E34">
        <v>3</v>
      </c>
      <c r="F34">
        <v>0</v>
      </c>
      <c r="G34">
        <v>7.87</v>
      </c>
      <c r="H34">
        <v>0.94</v>
      </c>
      <c r="L34">
        <f>0.756*60</f>
        <v>45.36</v>
      </c>
    </row>
    <row r="35" spans="1:12" ht="43.15">
      <c r="A35" s="7">
        <v>5</v>
      </c>
      <c r="B35" s="8">
        <v>0</v>
      </c>
      <c r="C35" s="9" t="s">
        <v>84</v>
      </c>
      <c r="D35" s="24" t="s">
        <v>85</v>
      </c>
      <c r="E35" s="10">
        <v>3</v>
      </c>
      <c r="F35" s="10">
        <v>1</v>
      </c>
      <c r="G35" s="10">
        <v>7.33</v>
      </c>
      <c r="H35">
        <v>0.67</v>
      </c>
      <c r="J35">
        <f>15/5</f>
        <v>3</v>
      </c>
    </row>
    <row r="36" spans="1:12">
      <c r="A36" t="s">
        <v>58</v>
      </c>
      <c r="B36" s="11">
        <v>0</v>
      </c>
      <c r="E36">
        <f>SUM(E31:E35)</f>
        <v>14</v>
      </c>
      <c r="F36">
        <f>SUM(F31:F35)</f>
        <v>4</v>
      </c>
      <c r="G36">
        <f>SUM(G31:G35)/5</f>
        <v>4.7560000000000002</v>
      </c>
      <c r="H36">
        <f>SUM(H31:H35)/5</f>
        <v>0.45199999999999996</v>
      </c>
    </row>
    <row r="37" spans="1:12" ht="43.15">
      <c r="B37" s="11"/>
      <c r="E37" s="6" t="s">
        <v>72</v>
      </c>
      <c r="F37" s="3">
        <f>((5*6-(E36+F36))/(5*6))*100</f>
        <v>40</v>
      </c>
    </row>
    <row r="38" spans="1:12">
      <c r="C38" s="12" t="s">
        <v>8</v>
      </c>
      <c r="D38" s="13" t="s">
        <v>7</v>
      </c>
      <c r="K38" t="s">
        <v>86</v>
      </c>
      <c r="L38">
        <f>0.87*60</f>
        <v>52.2</v>
      </c>
    </row>
    <row r="39" spans="1:12" ht="57.6">
      <c r="C39" s="14" t="s">
        <v>73</v>
      </c>
      <c r="D39" s="15" t="s">
        <v>87</v>
      </c>
    </row>
  </sheetData>
  <mergeCells count="3">
    <mergeCell ref="C16:D16"/>
    <mergeCell ref="C1:D2"/>
    <mergeCell ref="C29:D29"/>
  </mergeCells>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E5B37-FDE1-4966-88D1-6F5A52E6EF07}">
  <dimension ref="A1:X39"/>
  <sheetViews>
    <sheetView topLeftCell="A26" workbookViewId="0">
      <selection activeCell="C34" sqref="C34"/>
    </sheetView>
  </sheetViews>
  <sheetFormatPr defaultRowHeight="14.45"/>
  <cols>
    <col min="1" max="1" width="8.7109375" customWidth="1"/>
    <col min="2" max="2" width="9.28515625" customWidth="1"/>
    <col min="3" max="3" width="48.28515625" customWidth="1"/>
    <col min="4" max="4" width="39.85546875" customWidth="1"/>
    <col min="5" max="5" width="9.85546875" customWidth="1"/>
    <col min="6" max="6" width="10.28515625" customWidth="1"/>
    <col min="7" max="7" width="15.28515625" bestFit="1" customWidth="1"/>
    <col min="10" max="10" width="10.7109375" customWidth="1"/>
    <col min="11" max="11" width="10.28515625" customWidth="1"/>
    <col min="17" max="17" width="1.85546875" customWidth="1"/>
    <col min="18" max="18" width="76" customWidth="1"/>
    <col min="19" max="19" width="60.42578125" customWidth="1"/>
    <col min="20" max="20" width="35.140625" customWidth="1"/>
    <col min="21" max="21" width="13.85546875" customWidth="1"/>
    <col min="22" max="22" width="5.5703125" bestFit="1" customWidth="1"/>
    <col min="23" max="23" width="4.5703125" bestFit="1" customWidth="1"/>
  </cols>
  <sheetData>
    <row r="1" spans="1:24">
      <c r="C1" s="59" t="s">
        <v>0</v>
      </c>
      <c r="D1" s="59"/>
    </row>
    <row r="2" spans="1:24">
      <c r="C2" s="59"/>
      <c r="D2" s="59"/>
    </row>
    <row r="3" spans="1:24" ht="43.15">
      <c r="A3" s="1" t="s">
        <v>36</v>
      </c>
      <c r="B3" s="2" t="s">
        <v>33</v>
      </c>
      <c r="C3" s="3" t="s">
        <v>37</v>
      </c>
      <c r="D3" s="2" t="s">
        <v>38</v>
      </c>
      <c r="E3" s="1" t="s">
        <v>88</v>
      </c>
      <c r="F3" s="1" t="s">
        <v>40</v>
      </c>
      <c r="G3" s="1" t="s">
        <v>41</v>
      </c>
      <c r="H3" s="2" t="s">
        <v>42</v>
      </c>
      <c r="J3" s="4" t="s">
        <v>43</v>
      </c>
      <c r="K3" s="4" t="s">
        <v>44</v>
      </c>
      <c r="M3" s="50" t="s">
        <v>89</v>
      </c>
      <c r="N3" t="s">
        <v>90</v>
      </c>
      <c r="R3" t="s">
        <v>91</v>
      </c>
    </row>
    <row r="4" spans="1:24" ht="85.5" customHeight="1">
      <c r="A4" s="5">
        <v>1</v>
      </c>
      <c r="B4" s="1">
        <v>1</v>
      </c>
      <c r="C4" s="6"/>
      <c r="D4" s="4" t="s">
        <v>92</v>
      </c>
      <c r="E4" s="4"/>
      <c r="F4" s="4">
        <v>1</v>
      </c>
      <c r="G4" s="52" t="s">
        <v>93</v>
      </c>
      <c r="H4" s="4">
        <v>0.67</v>
      </c>
      <c r="I4" t="s">
        <v>46</v>
      </c>
      <c r="J4" s="16" t="s">
        <v>47</v>
      </c>
      <c r="K4" s="16" t="s">
        <v>47</v>
      </c>
      <c r="M4" s="50">
        <f>6/6*100</f>
        <v>100</v>
      </c>
      <c r="N4">
        <f>10+32/60</f>
        <v>10.533333333333333</v>
      </c>
      <c r="Q4" s="30">
        <v>0</v>
      </c>
      <c r="R4" s="31" t="s">
        <v>94</v>
      </c>
      <c r="S4" s="32" t="s">
        <v>95</v>
      </c>
      <c r="T4" s="32">
        <v>0</v>
      </c>
      <c r="U4" s="32">
        <v>0</v>
      </c>
      <c r="V4" s="33">
        <v>0.3840277777777778</v>
      </c>
      <c r="W4" s="34" t="s">
        <v>96</v>
      </c>
    </row>
    <row r="5" spans="1:24" ht="156" customHeight="1">
      <c r="A5" s="5">
        <v>2</v>
      </c>
      <c r="B5" s="1">
        <v>0</v>
      </c>
      <c r="C5" s="6"/>
      <c r="D5" s="4" t="s">
        <v>97</v>
      </c>
      <c r="E5" s="4">
        <v>1</v>
      </c>
      <c r="F5" s="4">
        <v>3</v>
      </c>
      <c r="G5" s="29" t="s">
        <v>98</v>
      </c>
      <c r="H5" s="4">
        <v>1.62</v>
      </c>
      <c r="I5" t="s">
        <v>50</v>
      </c>
      <c r="J5" s="17" t="s">
        <v>47</v>
      </c>
      <c r="K5" s="17" t="s">
        <v>47</v>
      </c>
      <c r="M5" s="50">
        <f>13/18*100</f>
        <v>72.222222222222214</v>
      </c>
      <c r="N5">
        <f>9+40/60+12+8+9/60</f>
        <v>29.816666666666663</v>
      </c>
      <c r="R5" s="30">
        <v>1</v>
      </c>
      <c r="S5" s="31"/>
      <c r="T5" s="32" t="s">
        <v>99</v>
      </c>
      <c r="U5" s="32">
        <v>0</v>
      </c>
      <c r="V5" s="32">
        <v>1</v>
      </c>
      <c r="W5" s="33" t="s">
        <v>100</v>
      </c>
      <c r="X5" s="34" t="s">
        <v>101</v>
      </c>
    </row>
    <row r="6" spans="1:24" ht="98.25" customHeight="1">
      <c r="A6" s="5">
        <v>3</v>
      </c>
      <c r="B6" s="1">
        <v>0</v>
      </c>
      <c r="C6" s="6" t="s">
        <v>102</v>
      </c>
      <c r="D6" s="4" t="s">
        <v>103</v>
      </c>
      <c r="E6" s="4">
        <v>0</v>
      </c>
      <c r="F6" s="4">
        <v>2</v>
      </c>
      <c r="G6" s="29" t="s">
        <v>104</v>
      </c>
      <c r="H6" s="4">
        <v>1.8</v>
      </c>
      <c r="M6" s="50">
        <f>11/12*100</f>
        <v>91.666666666666657</v>
      </c>
      <c r="N6">
        <f>15+49/60</f>
        <v>15.816666666666666</v>
      </c>
      <c r="R6" s="44">
        <v>0</v>
      </c>
      <c r="S6" s="45"/>
      <c r="T6" s="46" t="s">
        <v>105</v>
      </c>
      <c r="U6" s="46">
        <v>1</v>
      </c>
      <c r="V6" s="46">
        <v>2</v>
      </c>
      <c r="W6" s="47" t="s">
        <v>106</v>
      </c>
      <c r="X6" s="48" t="s">
        <v>107</v>
      </c>
    </row>
    <row r="7" spans="1:24" ht="188.25">
      <c r="A7" s="5">
        <v>4</v>
      </c>
      <c r="B7" s="1">
        <v>0</v>
      </c>
      <c r="C7" s="6"/>
      <c r="D7" s="4" t="s">
        <v>108</v>
      </c>
      <c r="E7" s="4">
        <v>1</v>
      </c>
      <c r="F7" s="4">
        <v>3</v>
      </c>
      <c r="G7" s="4" t="s">
        <v>109</v>
      </c>
      <c r="H7" s="4">
        <v>0.6</v>
      </c>
      <c r="M7" s="50">
        <f>9/12*100</f>
        <v>75</v>
      </c>
      <c r="N7">
        <f>8+4/60+12+16/60+10</f>
        <v>30.333333333333332</v>
      </c>
    </row>
    <row r="8" spans="1:24" ht="28.9">
      <c r="A8" s="7">
        <v>5</v>
      </c>
      <c r="B8" s="25">
        <v>0</v>
      </c>
      <c r="C8" s="9" t="s">
        <v>102</v>
      </c>
      <c r="D8" s="24" t="s">
        <v>110</v>
      </c>
      <c r="E8" s="24">
        <v>0</v>
      </c>
      <c r="F8" s="24">
        <v>1</v>
      </c>
      <c r="G8" s="24" t="s">
        <v>111</v>
      </c>
      <c r="H8" s="4">
        <v>0.28999999999999998</v>
      </c>
      <c r="M8" s="50">
        <f>6/6*100</f>
        <v>100</v>
      </c>
      <c r="N8">
        <f>4+52/60</f>
        <v>4.8666666666666671</v>
      </c>
    </row>
    <row r="9" spans="1:24">
      <c r="A9" t="s">
        <v>58</v>
      </c>
      <c r="B9" s="28">
        <f>SUM(B4:B8)/5</f>
        <v>0.2</v>
      </c>
      <c r="C9" s="4"/>
      <c r="D9" s="4"/>
      <c r="E9" s="28">
        <f>SUM(E4:E8)/4</f>
        <v>0.5</v>
      </c>
      <c r="F9" s="28">
        <f>SUM(F4:F8)/5</f>
        <v>2</v>
      </c>
      <c r="G9" s="28">
        <f>SUM(G4:G8)/5</f>
        <v>0</v>
      </c>
      <c r="H9" s="28">
        <f>SUM(H4:H8)/5</f>
        <v>0.99599999999999989</v>
      </c>
      <c r="I9">
        <f>(H7+H5+H4)/3</f>
        <v>0.96333333333333337</v>
      </c>
      <c r="M9" s="55">
        <f>SUM(M4:M8)/5</f>
        <v>87.777777777777786</v>
      </c>
      <c r="N9">
        <f>SUM(N4:N8)/5</f>
        <v>18.27333333333333</v>
      </c>
      <c r="O9">
        <f>0.2733*60</f>
        <v>16.398</v>
      </c>
    </row>
    <row r="10" spans="1:24">
      <c r="M10" s="50"/>
    </row>
    <row r="11" spans="1:24">
      <c r="C11" s="12" t="s">
        <v>8</v>
      </c>
      <c r="D11" s="13" t="s">
        <v>7</v>
      </c>
      <c r="M11" s="50"/>
    </row>
    <row r="12" spans="1:24" ht="115.5">
      <c r="C12" s="14" t="s">
        <v>112</v>
      </c>
      <c r="D12" s="15" t="s">
        <v>113</v>
      </c>
      <c r="M12" s="50"/>
      <c r="N12" t="s">
        <v>114</v>
      </c>
      <c r="O12" t="s">
        <v>115</v>
      </c>
    </row>
    <row r="13" spans="1:24">
      <c r="M13" s="50"/>
    </row>
    <row r="14" spans="1:24">
      <c r="M14" s="50"/>
    </row>
    <row r="15" spans="1:24">
      <c r="M15" s="50"/>
    </row>
    <row r="16" spans="1:24" ht="31.15">
      <c r="C16" s="62" t="s">
        <v>19</v>
      </c>
      <c r="D16" s="62"/>
      <c r="M16" s="50"/>
    </row>
    <row r="17" spans="1:14" ht="28.9">
      <c r="A17" s="1" t="s">
        <v>36</v>
      </c>
      <c r="B17" s="2" t="s">
        <v>33</v>
      </c>
      <c r="C17" s="3" t="s">
        <v>37</v>
      </c>
      <c r="D17" s="2" t="s">
        <v>38</v>
      </c>
      <c r="E17" s="1" t="s">
        <v>116</v>
      </c>
      <c r="F17" s="1" t="s">
        <v>117</v>
      </c>
      <c r="G17" s="1" t="s">
        <v>41</v>
      </c>
      <c r="H17" s="2" t="s">
        <v>118</v>
      </c>
      <c r="J17" s="4" t="s">
        <v>43</v>
      </c>
      <c r="K17" s="4" t="s">
        <v>44</v>
      </c>
      <c r="M17" s="50"/>
    </row>
    <row r="18" spans="1:14" ht="86.45">
      <c r="A18" s="5">
        <v>1</v>
      </c>
      <c r="B18" s="1">
        <v>0</v>
      </c>
      <c r="C18" s="6" t="s">
        <v>119</v>
      </c>
      <c r="D18" s="4"/>
      <c r="E18" s="4"/>
      <c r="F18" s="4"/>
      <c r="G18" s="49" t="s">
        <v>120</v>
      </c>
      <c r="H18" s="4">
        <v>0.7</v>
      </c>
      <c r="I18" t="s">
        <v>46</v>
      </c>
      <c r="J18" s="16" t="s">
        <v>47</v>
      </c>
      <c r="K18" s="16" t="s">
        <v>47</v>
      </c>
      <c r="M18" s="50"/>
    </row>
    <row r="19" spans="1:14" ht="28.9">
      <c r="A19" s="5">
        <v>2</v>
      </c>
      <c r="B19" s="1">
        <v>0</v>
      </c>
      <c r="C19" s="6" t="s">
        <v>121</v>
      </c>
      <c r="D19" s="4" t="s">
        <v>122</v>
      </c>
      <c r="E19" s="4"/>
      <c r="F19" s="4"/>
      <c r="G19" s="4" t="s">
        <v>123</v>
      </c>
      <c r="H19" s="4">
        <v>0.69</v>
      </c>
      <c r="I19" t="s">
        <v>50</v>
      </c>
      <c r="J19" s="17" t="s">
        <v>47</v>
      </c>
      <c r="K19" s="17" t="s">
        <v>47</v>
      </c>
      <c r="M19" s="50"/>
    </row>
    <row r="20" spans="1:14">
      <c r="A20" s="5">
        <v>3</v>
      </c>
      <c r="B20" s="1">
        <v>1</v>
      </c>
      <c r="C20" s="6"/>
      <c r="D20" s="4" t="s">
        <v>124</v>
      </c>
      <c r="E20" s="4"/>
      <c r="F20" s="4"/>
      <c r="G20" s="4">
        <v>4</v>
      </c>
      <c r="H20" s="4">
        <v>0.36</v>
      </c>
      <c r="M20" s="50"/>
    </row>
    <row r="21" spans="1:14" ht="57.6">
      <c r="A21" s="5">
        <v>4</v>
      </c>
      <c r="B21" s="1">
        <v>0</v>
      </c>
      <c r="C21" s="6" t="s">
        <v>125</v>
      </c>
      <c r="D21" s="4" t="s">
        <v>126</v>
      </c>
      <c r="E21" s="4"/>
      <c r="F21" s="4"/>
      <c r="G21" s="4" t="s">
        <v>127</v>
      </c>
      <c r="H21" s="4">
        <v>0.71</v>
      </c>
      <c r="M21" s="50"/>
    </row>
    <row r="22" spans="1:14">
      <c r="A22" s="7">
        <v>5</v>
      </c>
      <c r="B22" s="25">
        <v>1</v>
      </c>
      <c r="C22" s="9"/>
      <c r="D22" s="24"/>
      <c r="E22" s="24"/>
      <c r="F22" s="24"/>
      <c r="G22" s="24" t="s">
        <v>128</v>
      </c>
      <c r="H22" s="4">
        <v>0.27</v>
      </c>
      <c r="M22" s="50" t="s">
        <v>46</v>
      </c>
      <c r="N22" t="s">
        <v>129</v>
      </c>
    </row>
    <row r="23" spans="1:14">
      <c r="A23" t="s">
        <v>58</v>
      </c>
      <c r="B23" s="28">
        <f>2/5*100</f>
        <v>40</v>
      </c>
      <c r="C23" s="4"/>
      <c r="D23" s="4"/>
      <c r="E23" s="4"/>
      <c r="F23" s="4"/>
      <c r="G23" s="28"/>
      <c r="H23" s="28">
        <f>SUM(H18:H22)/5</f>
        <v>0.54600000000000004</v>
      </c>
      <c r="J23">
        <f>(H18+H19+H21)/3</f>
        <v>0.69999999999999984</v>
      </c>
      <c r="K23" s="50">
        <f>(H20+H22)/2</f>
        <v>0.315</v>
      </c>
      <c r="M23" s="50">
        <f>(6+6+4+5+3+1)/5</f>
        <v>5</v>
      </c>
      <c r="N23" s="53">
        <f xml:space="preserve"> 36</f>
        <v>36</v>
      </c>
    </row>
    <row r="24" spans="1:14">
      <c r="A24" s="5"/>
      <c r="B24" s="54"/>
      <c r="C24" s="6"/>
      <c r="D24" s="4"/>
      <c r="E24" s="4" t="s">
        <v>89</v>
      </c>
      <c r="F24" s="4">
        <f>(16)/24*100</f>
        <v>66.666666666666657</v>
      </c>
      <c r="G24" s="4"/>
      <c r="H24" s="4"/>
      <c r="M24" s="50"/>
    </row>
    <row r="25" spans="1:14">
      <c r="C25" s="12" t="s">
        <v>8</v>
      </c>
      <c r="D25" s="13" t="s">
        <v>7</v>
      </c>
      <c r="M25" s="50"/>
    </row>
    <row r="26" spans="1:14" ht="172.9">
      <c r="C26" s="14" t="s">
        <v>73</v>
      </c>
      <c r="D26" s="15" t="s">
        <v>130</v>
      </c>
      <c r="M26" s="50"/>
    </row>
    <row r="27" spans="1:14">
      <c r="M27" s="50"/>
    </row>
    <row r="28" spans="1:14">
      <c r="M28" s="50"/>
    </row>
    <row r="29" spans="1:14" ht="31.15">
      <c r="C29" s="62" t="s">
        <v>31</v>
      </c>
      <c r="D29" s="62"/>
      <c r="M29" s="50"/>
    </row>
    <row r="30" spans="1:14" ht="28.9">
      <c r="A30" s="1" t="s">
        <v>36</v>
      </c>
      <c r="B30" s="2" t="s">
        <v>33</v>
      </c>
      <c r="C30" s="3" t="s">
        <v>37</v>
      </c>
      <c r="D30" s="2" t="s">
        <v>38</v>
      </c>
      <c r="E30" s="1" t="s">
        <v>116</v>
      </c>
      <c r="F30" s="1" t="s">
        <v>117</v>
      </c>
      <c r="G30" s="1" t="s">
        <v>41</v>
      </c>
      <c r="H30" s="2" t="s">
        <v>118</v>
      </c>
      <c r="J30" s="4" t="s">
        <v>43</v>
      </c>
      <c r="K30" s="4" t="s">
        <v>44</v>
      </c>
      <c r="M30" s="50"/>
    </row>
    <row r="31" spans="1:14" ht="43.5">
      <c r="A31" s="5">
        <v>1</v>
      </c>
      <c r="B31" s="1">
        <v>0</v>
      </c>
      <c r="C31" s="6" t="s">
        <v>131</v>
      </c>
      <c r="D31" s="4" t="s">
        <v>132</v>
      </c>
      <c r="E31" s="4"/>
      <c r="F31" s="4"/>
      <c r="G31" s="4" t="s">
        <v>133</v>
      </c>
      <c r="H31" s="4">
        <v>1.29</v>
      </c>
      <c r="I31" t="s">
        <v>46</v>
      </c>
      <c r="J31" s="16" t="s">
        <v>47</v>
      </c>
      <c r="K31" s="16" t="s">
        <v>47</v>
      </c>
      <c r="M31" s="50"/>
    </row>
    <row r="32" spans="1:14" ht="43.5">
      <c r="A32" s="5">
        <v>2</v>
      </c>
      <c r="B32" s="1">
        <v>0</v>
      </c>
      <c r="C32" s="6" t="s">
        <v>134</v>
      </c>
      <c r="D32" s="4" t="s">
        <v>135</v>
      </c>
      <c r="E32" s="4"/>
      <c r="F32" s="4"/>
      <c r="G32" s="4" t="s">
        <v>136</v>
      </c>
      <c r="H32" s="4">
        <v>0.21</v>
      </c>
      <c r="I32" t="s">
        <v>50</v>
      </c>
      <c r="J32" s="17" t="s">
        <v>47</v>
      </c>
      <c r="K32" s="17" t="s">
        <v>47</v>
      </c>
      <c r="M32" s="50"/>
    </row>
    <row r="33" spans="1:15" ht="43.15">
      <c r="A33" s="5">
        <v>3</v>
      </c>
      <c r="B33" s="1">
        <v>0</v>
      </c>
      <c r="C33" s="6" t="s">
        <v>137</v>
      </c>
      <c r="D33" s="4" t="s">
        <v>138</v>
      </c>
      <c r="E33" s="4"/>
      <c r="F33" s="4"/>
      <c r="G33" s="4" t="s">
        <v>139</v>
      </c>
      <c r="H33" s="4">
        <v>0.37</v>
      </c>
      <c r="M33" s="50"/>
      <c r="O33">
        <f>0.6*60</f>
        <v>36</v>
      </c>
    </row>
    <row r="34" spans="1:15" ht="43.5">
      <c r="A34" s="5">
        <v>4</v>
      </c>
      <c r="B34" s="1">
        <v>0</v>
      </c>
      <c r="C34" s="6" t="s">
        <v>140</v>
      </c>
      <c r="D34" s="4"/>
      <c r="E34" s="4"/>
      <c r="F34" s="4"/>
      <c r="G34" s="4">
        <v>5</v>
      </c>
      <c r="H34" s="4">
        <v>0.32</v>
      </c>
      <c r="M34" s="50">
        <f>38/5</f>
        <v>7.6</v>
      </c>
      <c r="N34">
        <f>46/5</f>
        <v>9.1999999999999993</v>
      </c>
    </row>
    <row r="35" spans="1:15" ht="28.9">
      <c r="A35" s="7">
        <v>5</v>
      </c>
      <c r="B35" s="25">
        <v>0</v>
      </c>
      <c r="C35" s="9" t="s">
        <v>141</v>
      </c>
      <c r="D35" s="24"/>
      <c r="E35" s="24"/>
      <c r="F35" s="24"/>
      <c r="G35" s="24" t="s">
        <v>142</v>
      </c>
      <c r="H35" s="4">
        <v>1.01</v>
      </c>
      <c r="L35">
        <f>(16)/25*100</f>
        <v>64</v>
      </c>
      <c r="M35" s="50"/>
    </row>
    <row r="36" spans="1:15">
      <c r="A36" t="s">
        <v>58</v>
      </c>
      <c r="B36" s="28">
        <v>0</v>
      </c>
      <c r="C36" s="4"/>
      <c r="D36" s="4"/>
      <c r="E36" s="4"/>
      <c r="F36" s="4"/>
      <c r="G36" s="4"/>
      <c r="H36" s="4">
        <f>SUM(H31:H35)/5</f>
        <v>0.64</v>
      </c>
      <c r="M36" s="50"/>
    </row>
    <row r="37" spans="1:15">
      <c r="B37" s="11"/>
      <c r="L37" t="s">
        <v>143</v>
      </c>
      <c r="M37" s="50"/>
    </row>
    <row r="38" spans="1:15">
      <c r="C38" s="12" t="s">
        <v>8</v>
      </c>
      <c r="D38" s="13" t="s">
        <v>7</v>
      </c>
      <c r="M38" s="50"/>
    </row>
    <row r="39" spans="1:15" ht="86.45">
      <c r="C39" s="14" t="s">
        <v>144</v>
      </c>
      <c r="D39" s="15" t="s">
        <v>145</v>
      </c>
      <c r="M39" s="50"/>
    </row>
  </sheetData>
  <mergeCells count="3">
    <mergeCell ref="C1:D2"/>
    <mergeCell ref="C16:D16"/>
    <mergeCell ref="C29:D29"/>
  </mergeCells>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92B1-F531-4029-ACAB-7E25F29DDF60}">
  <dimension ref="A1:K11"/>
  <sheetViews>
    <sheetView workbookViewId="0">
      <selection activeCell="D21" sqref="D21"/>
    </sheetView>
  </sheetViews>
  <sheetFormatPr defaultRowHeight="14.45"/>
  <cols>
    <col min="1" max="1" width="8.7109375" customWidth="1"/>
    <col min="2" max="2" width="9.28515625" customWidth="1"/>
    <col min="3" max="3" width="48.28515625" customWidth="1"/>
    <col min="4" max="4" width="39.85546875" customWidth="1"/>
    <col min="5" max="5" width="9.85546875" customWidth="1"/>
    <col min="6" max="6" width="10.28515625" customWidth="1"/>
    <col min="7" max="7" width="10.28515625" bestFit="1" customWidth="1"/>
    <col min="10" max="10" width="10.7109375" customWidth="1"/>
    <col min="11" max="11" width="10.28515625" customWidth="1"/>
  </cols>
  <sheetData>
    <row r="1" spans="1:11" ht="28.9">
      <c r="A1" s="1" t="s">
        <v>36</v>
      </c>
      <c r="B1" s="2" t="s">
        <v>33</v>
      </c>
      <c r="C1" s="3" t="s">
        <v>37</v>
      </c>
      <c r="D1" s="2" t="s">
        <v>38</v>
      </c>
      <c r="E1" s="1" t="s">
        <v>116</v>
      </c>
      <c r="F1" s="1" t="s">
        <v>117</v>
      </c>
      <c r="G1" s="1" t="s">
        <v>41</v>
      </c>
      <c r="J1" s="4" t="s">
        <v>43</v>
      </c>
      <c r="K1" s="4" t="s">
        <v>44</v>
      </c>
    </row>
    <row r="2" spans="1:11">
      <c r="A2" s="5">
        <v>1</v>
      </c>
      <c r="B2" s="2"/>
      <c r="C2" s="6"/>
      <c r="I2" t="s">
        <v>46</v>
      </c>
      <c r="J2" s="16" t="s">
        <v>47</v>
      </c>
      <c r="K2" s="16" t="s">
        <v>47</v>
      </c>
    </row>
    <row r="3" spans="1:11">
      <c r="A3" s="5">
        <v>2</v>
      </c>
      <c r="B3" s="2"/>
      <c r="C3" s="6"/>
      <c r="I3" t="s">
        <v>50</v>
      </c>
      <c r="J3" s="17" t="s">
        <v>47</v>
      </c>
      <c r="K3" s="17" t="s">
        <v>47</v>
      </c>
    </row>
    <row r="4" spans="1:11">
      <c r="A4" s="5">
        <v>3</v>
      </c>
      <c r="B4" s="2"/>
      <c r="C4" s="6"/>
    </row>
    <row r="5" spans="1:11">
      <c r="A5" s="5">
        <v>4</v>
      </c>
      <c r="B5" s="2"/>
      <c r="C5" s="6"/>
    </row>
    <row r="6" spans="1:11" ht="15" thickBot="1">
      <c r="A6" s="7">
        <v>5</v>
      </c>
      <c r="B6" s="8"/>
      <c r="C6" s="9"/>
      <c r="D6" s="10"/>
      <c r="E6" s="10"/>
      <c r="F6" s="10"/>
      <c r="G6" s="10"/>
    </row>
    <row r="7" spans="1:11">
      <c r="A7" t="s">
        <v>58</v>
      </c>
      <c r="B7" s="11"/>
    </row>
    <row r="9" spans="1:11" ht="15" thickBot="1"/>
    <row r="10" spans="1:11" ht="15" thickBot="1">
      <c r="C10" s="12" t="s">
        <v>8</v>
      </c>
      <c r="D10" s="13" t="s">
        <v>7</v>
      </c>
    </row>
    <row r="11" spans="1:11" ht="29.45" thickBot="1">
      <c r="C11" s="14" t="s">
        <v>146</v>
      </c>
      <c r="D11" s="1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Thor Kryhlmand Iversen</dc:creator>
  <cp:keywords/>
  <dc:description/>
  <cp:lastModifiedBy>Signe Møller-Skuldbøl</cp:lastModifiedBy>
  <cp:revision/>
  <dcterms:created xsi:type="dcterms:W3CDTF">2025-05-15T08:22:23Z</dcterms:created>
  <dcterms:modified xsi:type="dcterms:W3CDTF">2025-05-26T21:56:58Z</dcterms:modified>
  <cp:category/>
  <cp:contentStatus/>
</cp:coreProperties>
</file>
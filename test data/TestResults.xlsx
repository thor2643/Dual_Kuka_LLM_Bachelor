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aaudk-my.sharepoint.com/personal/md65ew_student_aau_dk/Documents/AAU - Fælles mapper til projekter/P6_Project/Tests/Initial Test/"/>
    </mc:Choice>
  </mc:AlternateContent>
  <xr:revisionPtr revIDLastSave="1034" documentId="8_{78F98447-F1D5-4BF4-AE56-4D12DD98D8D2}" xr6:coauthVersionLast="47" xr6:coauthVersionMax="47" xr10:uidLastSave="{6230FD07-F585-4D07-AE26-D4FDC9B6A9B9}"/>
  <bookViews>
    <workbookView xWindow="11520" yWindow="0" windowWidth="11520" windowHeight="12960" xr2:uid="{B790B19D-2F1E-4402-A735-64BF949CF27A}"/>
  </bookViews>
  <sheets>
    <sheet name="System Test" sheetId="1" r:id="rId1"/>
    <sheet name="Sheet1" sheetId="8" r:id="rId2"/>
    <sheet name="Push Box" sheetId="2" r:id="rId3"/>
    <sheet name="Move Bottle" sheetId="3" r:id="rId4"/>
    <sheet name="Pick Up Screwdriver" sheetId="4" r:id="rId5"/>
    <sheet name="Switch Fruit" sheetId="5" r:id="rId6"/>
    <sheet name="Pick Up w Obstacles" sheetId="6" r:id="rId7"/>
    <sheet name="Sort Fruits"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 l="1"/>
  <c r="D9" i="6"/>
  <c r="F3" i="1" s="1"/>
  <c r="D9" i="5"/>
  <c r="E3" i="1" s="1"/>
  <c r="D9" i="4"/>
  <c r="D3" i="1" s="1"/>
  <c r="D9" i="3"/>
  <c r="C3" i="1" s="1"/>
  <c r="E9" i="2"/>
  <c r="B3" i="1" s="1"/>
  <c r="G5" i="1"/>
  <c r="M5" i="7"/>
  <c r="L2" i="7"/>
  <c r="F5" i="1"/>
  <c r="L2" i="6"/>
  <c r="E5" i="1"/>
  <c r="L2" i="5"/>
  <c r="D5" i="1"/>
  <c r="L2" i="4"/>
  <c r="C5" i="1"/>
  <c r="L2" i="3"/>
  <c r="B5" i="1"/>
  <c r="M2" i="2"/>
  <c r="G4" i="1"/>
  <c r="F4" i="1"/>
  <c r="E4" i="1"/>
  <c r="D4" i="1"/>
  <c r="C4" i="1"/>
  <c r="B4" i="1"/>
  <c r="F7" i="7"/>
  <c r="F7" i="6"/>
  <c r="F7" i="5"/>
  <c r="F7" i="3"/>
  <c r="F7" i="4"/>
  <c r="G6" i="8"/>
  <c r="F6" i="8"/>
  <c r="E6" i="8"/>
  <c r="D6" i="8"/>
  <c r="C6" i="8"/>
  <c r="B6" i="8"/>
  <c r="G5" i="8"/>
  <c r="F5" i="8"/>
  <c r="E5" i="8"/>
  <c r="D5" i="8"/>
  <c r="C5" i="8"/>
  <c r="B5" i="8"/>
  <c r="E4" i="8"/>
  <c r="D4" i="8"/>
  <c r="B4" i="8"/>
  <c r="G3" i="8"/>
  <c r="F3" i="8"/>
  <c r="E3" i="8"/>
  <c r="D3" i="8"/>
  <c r="C3" i="8"/>
  <c r="B3" i="8"/>
  <c r="G2" i="8"/>
  <c r="F2" i="8"/>
  <c r="E2" i="8"/>
  <c r="D2" i="8"/>
  <c r="C2" i="8"/>
  <c r="B2" i="8"/>
  <c r="G6" i="1"/>
  <c r="F6" i="1"/>
  <c r="E6" i="1"/>
  <c r="D6" i="1"/>
  <c r="C6" i="1"/>
  <c r="B6" i="1"/>
  <c r="J2" i="3"/>
  <c r="L2" i="2"/>
  <c r="K2" i="5"/>
  <c r="K2" i="4"/>
  <c r="J2" i="4"/>
  <c r="G7" i="7"/>
  <c r="G7" i="5"/>
  <c r="G7" i="4"/>
  <c r="G7" i="6"/>
  <c r="G7" i="3"/>
  <c r="H7" i="2"/>
  <c r="D2" i="1"/>
  <c r="E7" i="7"/>
  <c r="E7" i="6"/>
  <c r="E7" i="5"/>
  <c r="E7" i="4"/>
  <c r="E7" i="3"/>
  <c r="F7" i="2"/>
  <c r="G7" i="2"/>
  <c r="B7" i="2"/>
  <c r="B2" i="1" s="1"/>
  <c r="B7" i="7"/>
  <c r="G2" i="1" s="1"/>
  <c r="B7" i="6"/>
  <c r="F2" i="1" s="1"/>
  <c r="B7" i="5"/>
  <c r="E2" i="1" s="1"/>
  <c r="B7" i="4"/>
  <c r="B7" i="3"/>
  <c r="C2" i="1" s="1"/>
  <c r="E11" i="1" l="1"/>
  <c r="G3" i="1"/>
  <c r="D11" i="1"/>
</calcChain>
</file>

<file path=xl/sharedStrings.xml><?xml version="1.0" encoding="utf-8"?>
<sst xmlns="http://schemas.openxmlformats.org/spreadsheetml/2006/main" count="278" uniqueCount="111">
  <si>
    <t>.</t>
  </si>
  <si>
    <t>Pick Up Screwdriver</t>
  </si>
  <si>
    <t>Pick Up w Obstacles</t>
  </si>
  <si>
    <t>Trial
Number</t>
  </si>
  <si>
    <t>Success</t>
  </si>
  <si>
    <t>Initial prompt</t>
  </si>
  <si>
    <t>Error Cause</t>
  </si>
  <si>
    <t>Comments</t>
  </si>
  <si>
    <t>Success
with user</t>
  </si>
  <si>
    <t>Extra num prompts</t>
  </si>
  <si>
    <t>Push the realsense box 10 cm to the left using the right arm</t>
  </si>
  <si>
    <t>It only atempted to move the box 5 cm to the left, when it should be 10. And the gripper was not closed, so the box went between the fingers</t>
  </si>
  <si>
    <t>It fixed it by closing the gripper and then pushing it an extra 5 cm.</t>
  </si>
  <si>
    <t>We had to press the stop button to avoid collision with the box</t>
  </si>
  <si>
    <t>When trying to correct, it picked up the box, and moved it to the right.</t>
  </si>
  <si>
    <t>It did not close the gripper after approaching.</t>
  </si>
  <si>
    <t>It had the right apporach, after correction, but the box had moved by then.</t>
  </si>
  <si>
    <t>It moved the gripper above the box, not beside it or down on it, so when it moved to plus 10 cm then the box did not follow</t>
  </si>
  <si>
    <t xml:space="preserve">It seems to not want to update the position of the box after a failed atempt. </t>
  </si>
  <si>
    <t>Avg.</t>
  </si>
  <si>
    <t xml:space="preserve">It would never close the gripper after approaching, and it would often move it the wrong amout. </t>
  </si>
  <si>
    <t>Run
Number</t>
  </si>
  <si>
    <t>It worked great, although it searched for the predefied locations, which was not necessary</t>
  </si>
  <si>
    <t xml:space="preserve">Overall remarks </t>
  </si>
  <si>
    <t>Pick up the bottle, and move it to the right arms home position</t>
  </si>
  <si>
    <t>When the bottle is placed on the left side of the table, then it uses the left arm, despite the left arm not being able to reach the right arms home location.</t>
  </si>
  <si>
    <t>YOLO could only find the small screwdriver.</t>
  </si>
  <si>
    <t>When asked to search for a synonym it looked for tool and only found the biggest screwdriver and therefore "succeeded ".</t>
  </si>
  <si>
    <t xml:space="preserve">YOLO-World estimated the small screwdriver to have a larger width, because it had a diagonal width. </t>
  </si>
  <si>
    <t>Socrates can see that the biggest screwdriver is to the left and tries to tell Janise to focus on that. However, it still took the returned biggest width and thought it was related to the screwdriver located on the left although it was the opposite.</t>
  </si>
  <si>
    <t>YOLO-World estimated the small screwdriver to have a larger width. However, they both had a diagonal width and were very close to each other, but the smallest screwdriver had larger returned width and was therefore chosen.</t>
  </si>
  <si>
    <t>Socrates seemed to know which screwdriver was correct initially, but got confused later.</t>
  </si>
  <si>
    <t>When asked to search for screwdriver again it found only the biggest screwdriver and therefore "succeeded ".</t>
  </si>
  <si>
    <t>As YOLO-World succeeded in both screwdriver, the task was easily completed</t>
  </si>
  <si>
    <t>Pick up the biggest screwdriver with the right arm</t>
  </si>
  <si>
    <t>The system recorded the initial position of the banana and apple and then picked up the banana first with the right arm. The right gripper dragged the banana into the apples position, pushing it aside, and then it tried grasping the apple using its initial position, but failed because it had been pushed aside by the gripper earlier.</t>
  </si>
  <si>
    <t>It was nicely fixed by telling it that it had pushed the apple away and was asked to try again by picking it up at its new position</t>
  </si>
  <si>
    <t>Replaced banana at its initial position and at last it dropped the apple so it fell off the table, which is unfixable.</t>
  </si>
  <si>
    <t>Socrates started to put people into the message history, maybe because it saw Silas' legs.</t>
  </si>
  <si>
    <t>It picked up the banana with the right arm and the apple with the left arm, but the system then, for each arm, proceeded to plan a path to one fruit's initial position to the other fruit's initial position. However, as the arms were in the way this was impossible, and instead they would sometimes just drop the fruit they were holding.</t>
  </si>
  <si>
    <t>It picked up the apple with the left arm and the banan with the right arm, so it didn't push the other fruit away this time</t>
  </si>
  <si>
    <t>The system recorded the initial position of the banana and apple and then picked up the banana first with the right arm. The right gripper dragged the banana into the apples position, pushing it aside, and then it tried grasping the apple using its initial position, but failed because it had been pushed aside by the gripper earlier. Instead, it again grasped the banana, which it had just placed, and put it back on its initial position.</t>
  </si>
  <si>
    <t>Generally, it was found that it only regarded the last suggestion/step from Socrates. So, it did not make proper preparations.</t>
  </si>
  <si>
    <t>It tried to plan to pick up apple with left arm, which was impossible due to joint limits. Afterwards, it picked up the banana with the right arm and pushed away the apple as usual.</t>
  </si>
  <si>
    <t>For the first time, Socrates made a very nice suggestion for the steps to take which included a temporary position for the fruits to position without collision with the other fruit.</t>
  </si>
  <si>
    <t>Switch the positions of the banana and the apple</t>
  </si>
  <si>
    <t>Generally it failed because it did not move the fruit when placing the switching the first fruit's position.</t>
  </si>
  <si>
    <t>The system only found the bottom bottle and not the bottle inside the cup and proceeded to pick up the cup directly, resulting in the emergency stop button being pressed.</t>
  </si>
  <si>
    <t>The bottle inside the cup might have been missed because the camera could not fully see it from the camera pose.</t>
  </si>
  <si>
    <t>The same error happened again, where the system did not care that the mug was between obstacles and proceed to pick up the mug, which resulted in a bad collission between the gripper and a bottle. This time it was for the right arm though.</t>
  </si>
  <si>
    <t>We'll probably need another system prompt to successfully complete this task.</t>
  </si>
  <si>
    <t>The system found the mug and proceeded to pick it up without first removing the bottles in front and behind it, resulting in an emergency stop to save the right gripper from colliding with a bottle.</t>
  </si>
  <si>
    <t>The system initially found the right gripper as cup. Afterwards, the system found the mug as cup and proceeded to pick it up with the obstacles still in the way, resulting in an emergency stop</t>
  </si>
  <si>
    <t>The system found the mug and proceeded to pick it up without first removing the bottle on top of it, resulting in an emergency stop.</t>
  </si>
  <si>
    <t>Pick up the mug between the two obscuring bottles</t>
  </si>
  <si>
    <t>It did not care about the bottles.</t>
  </si>
  <si>
    <t>It started by picking up an apple with the left gripper, which is an error as the apples should be placed in the right gripper bowl. The left gripper also did not always close entirely sometimes when grasping a banana, which caused the grasps to fail. One apple was also out of reach for the right gripper due to joint constraints, and when the left gripper was sent to move the apple to a temporary location that the right gripper can reach, it went for an apples location, which had already been placed in the bowl. The system reached the prompt limit in the end, while still needing to place 1 apple and 2 bananas in their respective bowls.</t>
  </si>
  <si>
    <t>The right gripper kept picking up the same banana which was wrong, since it should only pick up apples. Socrates also kept ending the workflow, because it lost sight of the table when the left gripper was moving bananas, because the camera was faced outside the table.</t>
  </si>
  <si>
    <t>It stopped early, because it did not know where to drop off the bananas and apples. In all earlier tests, Socrates told Janise that it could drop the fruit off at the arm's respective home positions, but not this time. The test failed when the left gripper was about to hit the right arm, which resulted in the emergency stop button being pressed.</t>
  </si>
  <si>
    <t xml:space="preserve">The errors were much similar to the others, except this time it took a banana all the way to the wrong bowl, but did not release it. </t>
  </si>
  <si>
    <t>The system decided to drop the fruit of add drop points it decided on its own, which were faulty and not inside the bowl, so it dropped a lot of fruit on the table again. We also accidently placed an apple an a banana too close to each other, and the right arm accidently sliced an apple when trying to grasp a banana (although it should never have grasped bananas in the first place).</t>
  </si>
  <si>
    <t>Sort the fruits by placing the apples in the bowl to the right and the bananas in the bowl to the left</t>
  </si>
  <si>
    <t>Generally it finished the task too early when Socrates could not see the workspace e.g. when releasing the banana in the left bowl</t>
  </si>
  <si>
    <t>YOLO-World could not find both screwdrivers, which caused it to often pick up the small screwdriver as this was found the most.</t>
  </si>
  <si>
    <t>Reprompt succes</t>
  </si>
  <si>
    <t>Push Box</t>
  </si>
  <si>
    <t>Move Bottle</t>
  </si>
  <si>
    <t>Switch Fruits</t>
  </si>
  <si>
    <t>Sort Fruits</t>
  </si>
  <si>
    <t>Avg. Reprompts</t>
  </si>
  <si>
    <t>Total Success w. Reprompts</t>
  </si>
  <si>
    <t>A combination of lack of approaching from the sides and that the gripper was open.</t>
  </si>
  <si>
    <t>Pick up the bottle, and move it to the right arm's home position</t>
  </si>
  <si>
    <t>Success w/o Reprompts</t>
  </si>
  <si>
    <t>Task</t>
  </si>
  <si>
    <t>Pick Up w. Obstacles</t>
  </si>
  <si>
    <t>Sort fruits</t>
  </si>
  <si>
    <t>Successful Tasks w. Reprompts</t>
  </si>
  <si>
    <t>Successful Tasks w/o Reprompts</t>
  </si>
  <si>
    <t>Time Taken [min]</t>
  </si>
  <si>
    <t>min</t>
  </si>
  <si>
    <t>Time w/o repromtps</t>
  </si>
  <si>
    <t>Time w. reprompts</t>
  </si>
  <si>
    <t>m:sec</t>
  </si>
  <si>
    <t>3:01</t>
  </si>
  <si>
    <t>0:41</t>
  </si>
  <si>
    <t>3:30</t>
  </si>
  <si>
    <t>7:23</t>
  </si>
  <si>
    <t>It used the left arm, so it could not go to the right arm home postion. After that it planned a movement that would result in the bottle colliding with the other arm. Emergency stop was used.</t>
  </si>
  <si>
    <t>1:20</t>
  </si>
  <si>
    <t>N/A</t>
  </si>
  <si>
    <t>Avg. Time w. reprompts [min:sec]</t>
  </si>
  <si>
    <t>Avg. Time w/o reprompts [min:sec]</t>
  </si>
  <si>
    <t xml:space="preserve">When approaching the box, it added 10 cm to the boxes current location, when it should have moved to 10 cm less. </t>
  </si>
  <si>
    <t>It did not close the gripper after approaching , and it only tried to push it 1 cm istead of 10</t>
  </si>
  <si>
    <t>Even though it was on the left side it picked it up using the right arm. This was good. It should have done this in run 2 as well.</t>
  </si>
  <si>
    <t>It worked great, although it searched for the predefined locations, which was not necessary</t>
  </si>
  <si>
    <t>Generally it failed because it did not move the other fruit when placing the first fruit.</t>
  </si>
  <si>
    <t>General Comments</t>
  </si>
  <si>
    <t>38.89%</t>
  </si>
  <si>
    <t>Total Success 
w. Reprompts</t>
  </si>
  <si>
    <t>4:00</t>
  </si>
  <si>
    <t>Avg. Task Time</t>
  </si>
  <si>
    <t>Avg. Time</t>
  </si>
  <si>
    <t>2:00</t>
  </si>
  <si>
    <t>2:56</t>
  </si>
  <si>
    <t>7:53</t>
  </si>
  <si>
    <t>1:26</t>
  </si>
  <si>
    <t>13:24</t>
  </si>
  <si>
    <t>Total Success incl. Repromtps</t>
  </si>
  <si>
    <t>Successful Tasks incl. Reprompts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</si>
</sst>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0" x14ac:knownFonts="1">
    <font>
      <sz val="11"/>
      <color theme="1"/>
      <name val="Aptos Narrow"/>
      <family val="2"/>
      <scheme val="minor"/>
    </font>
    <font>
      <sz val="11"/>
      <color theme="1"/>
      <name val="Aptos Narrow"/>
      <family val="2"/>
      <scheme val="minor"/>
    </font>
    <font>
      <b/>
      <sz val="11"/>
      <color rgb="FF000000"/>
      <name val="Aptos Narrow"/>
      <scheme val="minor"/>
    </font>
    <font>
      <sz val="11"/>
      <color rgb="FF000000"/>
      <name val="Aptos Narrow"/>
      <family val="2"/>
      <scheme val="minor"/>
    </font>
    <font>
      <b/>
      <sz val="11"/>
      <color rgb="FF000000"/>
      <name val="Aptos Narrow"/>
      <family val="2"/>
      <scheme val="minor"/>
    </font>
    <font>
      <sz val="11"/>
      <color rgb="FF000000"/>
      <name val="Aptos Narrow"/>
      <charset val="1"/>
    </font>
    <font>
      <b/>
      <sz val="11"/>
      <color theme="0"/>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s>
  <fills count="7">
    <fill>
      <patternFill patternType="none"/>
    </fill>
    <fill>
      <patternFill patternType="gray125"/>
    </fill>
    <fill>
      <patternFill patternType="solid">
        <fgColor rgb="FF00B050"/>
        <bgColor indexed="64"/>
      </patternFill>
    </fill>
    <fill>
      <patternFill patternType="solid">
        <fgColor theme="5"/>
        <bgColor indexed="64"/>
      </patternFill>
    </fill>
    <fill>
      <patternFill patternType="solid">
        <fgColor theme="0"/>
        <bgColor indexed="64"/>
      </patternFill>
    </fill>
    <fill>
      <patternFill patternType="solid">
        <fgColor theme="0" tint="-0.14999847407452621"/>
        <bgColor indexed="64"/>
      </patternFill>
    </fill>
    <fill>
      <patternFill patternType="solid">
        <fgColor theme="2" tint="-0.249977111117893"/>
        <bgColor indexed="64"/>
      </patternFill>
    </fill>
  </fills>
  <borders count="16">
    <border>
      <left/>
      <right/>
      <top/>
      <bottom/>
      <diagonal/>
    </border>
    <border>
      <left/>
      <right/>
      <top/>
      <bottom style="medium">
        <color indexed="64"/>
      </bottom>
      <diagonal/>
    </border>
    <border>
      <left/>
      <right/>
      <top style="medium">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thin">
        <color theme="5"/>
      </left>
      <right/>
      <top style="thin">
        <color theme="5"/>
      </top>
      <bottom style="thin">
        <color theme="5"/>
      </bottom>
      <diagonal/>
    </border>
    <border>
      <left/>
      <right style="thin">
        <color theme="5"/>
      </right>
      <top style="thin">
        <color theme="5"/>
      </top>
      <bottom style="thin">
        <color theme="5"/>
      </bottom>
      <diagonal/>
    </border>
    <border>
      <left/>
      <right/>
      <top/>
      <bottom style="thin">
        <color theme="5"/>
      </bottom>
      <diagonal/>
    </border>
    <border>
      <left style="thin">
        <color theme="5"/>
      </left>
      <right/>
      <top/>
      <bottom/>
      <diagonal/>
    </border>
    <border>
      <left style="medium">
        <color indexed="64"/>
      </left>
      <right style="medium">
        <color indexed="64"/>
      </right>
      <top style="medium">
        <color indexed="64"/>
      </top>
      <bottom style="medium">
        <color indexed="64"/>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bottom/>
      <diagonal/>
    </border>
    <border>
      <left style="medium">
        <color rgb="FF000000"/>
      </left>
      <right/>
      <top/>
      <bottom style="medium">
        <color rgb="FF000000"/>
      </bottom>
      <diagonal/>
    </border>
  </borders>
  <cellStyleXfs count="2">
    <xf numFmtId="0" fontId="0" fillId="0" borderId="0"/>
    <xf numFmtId="9" fontId="1" fillId="0" borderId="0" applyFont="0" applyFill="0" applyBorder="0" applyAlignment="0" applyProtection="0"/>
  </cellStyleXfs>
  <cellXfs count="69">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xf numFmtId="0" fontId="0" fillId="0" borderId="0" xfId="1" applyNumberFormat="1" applyFont="1" applyAlignment="1">
      <alignment horizontal="center"/>
    </xf>
    <xf numFmtId="0" fontId="0" fillId="0" borderId="0" xfId="0" applyAlignment="1">
      <alignment horizontal="center" vertical="center" wrapText="1"/>
    </xf>
    <xf numFmtId="0" fontId="0" fillId="0" borderId="0" xfId="0" applyAlignment="1">
      <alignment horizontal="left" vertical="center" wrapText="1"/>
    </xf>
    <xf numFmtId="0" fontId="0" fillId="0" borderId="1" xfId="0" applyBorder="1" applyAlignment="1">
      <alignment horizontal="center" vertical="center" wrapText="1"/>
    </xf>
    <xf numFmtId="0" fontId="0" fillId="0" borderId="0" xfId="0" applyAlignment="1">
      <alignment vertical="center" wrapText="1"/>
    </xf>
    <xf numFmtId="0" fontId="0" fillId="0" borderId="1" xfId="0" applyBorder="1" applyAlignment="1">
      <alignment vertical="center" wrapText="1"/>
    </xf>
    <xf numFmtId="0" fontId="0" fillId="0" borderId="2" xfId="0" applyBorder="1" applyAlignment="1">
      <alignment vertical="center" wrapText="1"/>
    </xf>
    <xf numFmtId="0" fontId="2" fillId="0" borderId="0" xfId="0" applyFont="1" applyAlignment="1">
      <alignment wrapText="1"/>
    </xf>
    <xf numFmtId="0" fontId="0" fillId="0" borderId="0" xfId="0" applyAlignment="1">
      <alignment horizontal="left" wrapText="1"/>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2" xfId="0" applyBorder="1" applyAlignment="1">
      <alignment horizontal="left" wrapText="1"/>
    </xf>
    <xf numFmtId="0" fontId="2" fillId="2" borderId="3" xfId="0" applyFont="1" applyFill="1" applyBorder="1"/>
    <xf numFmtId="0" fontId="3" fillId="2" borderId="3" xfId="0" applyFont="1" applyFill="1" applyBorder="1"/>
    <xf numFmtId="0" fontId="0" fillId="0" borderId="3" xfId="0" applyBorder="1" applyAlignment="1">
      <alignment wrapText="1"/>
    </xf>
    <xf numFmtId="0" fontId="5" fillId="0" borderId="0" xfId="0" applyFont="1"/>
    <xf numFmtId="0" fontId="5" fillId="0" borderId="0" xfId="0" applyFont="1" applyAlignment="1">
      <alignment wrapText="1"/>
    </xf>
    <xf numFmtId="0" fontId="0" fillId="0" borderId="3" xfId="0" applyBorder="1" applyAlignment="1">
      <alignment horizontal="left" vertical="center"/>
    </xf>
    <xf numFmtId="0" fontId="0" fillId="0" borderId="4" xfId="0" applyBorder="1" applyAlignment="1">
      <alignment horizontal="left" vertical="center" wrapText="1"/>
    </xf>
    <xf numFmtId="0" fontId="2" fillId="2" borderId="5" xfId="0" applyFont="1" applyFill="1" applyBorder="1"/>
    <xf numFmtId="0" fontId="0" fillId="0" borderId="3" xfId="0" applyBorder="1"/>
    <xf numFmtId="0" fontId="0" fillId="0" borderId="4" xfId="0" applyBorder="1" applyAlignment="1">
      <alignment wrapText="1"/>
    </xf>
    <xf numFmtId="0" fontId="4" fillId="2" borderId="5" xfId="0" applyFont="1" applyFill="1" applyBorder="1"/>
    <xf numFmtId="0" fontId="0" fillId="0" borderId="1" xfId="0" applyBorder="1" applyAlignment="1">
      <alignment horizontal="left" vertical="center"/>
    </xf>
    <xf numFmtId="0" fontId="5" fillId="0" borderId="0" xfId="0" applyFont="1" applyAlignment="1">
      <alignment vertical="center"/>
    </xf>
    <xf numFmtId="0" fontId="0" fillId="0" borderId="3" xfId="0" applyBorder="1" applyAlignment="1">
      <alignment vertical="center" wrapText="1"/>
    </xf>
    <xf numFmtId="0" fontId="4" fillId="2" borderId="5" xfId="0" applyFont="1" applyFill="1" applyBorder="1" applyAlignment="1">
      <alignment horizontal="center" vertical="center"/>
    </xf>
    <xf numFmtId="0" fontId="3" fillId="2" borderId="3" xfId="0" applyFont="1" applyFill="1" applyBorder="1" applyAlignment="1">
      <alignment horizontal="center" vertical="center"/>
    </xf>
    <xf numFmtId="10" fontId="0" fillId="0" borderId="0" xfId="0" applyNumberFormat="1" applyAlignment="1">
      <alignment horizontal="center" vertical="center"/>
    </xf>
    <xf numFmtId="0" fontId="7" fillId="2" borderId="3" xfId="0" applyFont="1" applyFill="1" applyBorder="1" applyAlignment="1">
      <alignment horizontal="left" vertical="center" wrapText="1"/>
    </xf>
    <xf numFmtId="0" fontId="7" fillId="2" borderId="3" xfId="0" applyFont="1" applyFill="1" applyBorder="1" applyAlignment="1">
      <alignment horizontal="left" vertical="center"/>
    </xf>
    <xf numFmtId="0" fontId="0" fillId="0" borderId="3" xfId="0" applyBorder="1" applyAlignment="1">
      <alignment horizontal="left" vertical="center" wrapText="1"/>
    </xf>
    <xf numFmtId="0" fontId="0" fillId="0" borderId="0" xfId="0" applyAlignment="1">
      <alignment wrapText="1"/>
    </xf>
    <xf numFmtId="2" fontId="0" fillId="0" borderId="0" xfId="0" applyNumberFormat="1"/>
    <xf numFmtId="2" fontId="0" fillId="0" borderId="0" xfId="0" applyNumberFormat="1" applyAlignment="1">
      <alignment horizontal="left" wrapText="1"/>
    </xf>
    <xf numFmtId="20" fontId="0" fillId="0" borderId="0" xfId="0" applyNumberFormat="1"/>
    <xf numFmtId="164" fontId="0" fillId="0" borderId="0" xfId="0" applyNumberFormat="1" applyAlignment="1">
      <alignment horizontal="right"/>
    </xf>
    <xf numFmtId="2" fontId="0" fillId="0" borderId="0" xfId="0" applyNumberFormat="1" applyAlignment="1">
      <alignment horizontal="right"/>
    </xf>
    <xf numFmtId="49" fontId="0" fillId="0" borderId="0" xfId="0" applyNumberFormat="1" applyAlignment="1">
      <alignment horizontal="right"/>
    </xf>
    <xf numFmtId="0" fontId="0" fillId="0" borderId="9" xfId="0" applyBorder="1"/>
    <xf numFmtId="49" fontId="0" fillId="0" borderId="0" xfId="0" applyNumberFormat="1" applyAlignment="1">
      <alignment horizontal="center" vertical="center"/>
    </xf>
    <xf numFmtId="2" fontId="0" fillId="0" borderId="0" xfId="0" applyNumberFormat="1" applyAlignment="1">
      <alignment horizontal="center" vertical="center" wrapText="1"/>
    </xf>
    <xf numFmtId="2" fontId="0" fillId="0" borderId="1" xfId="0" applyNumberFormat="1" applyBorder="1" applyAlignment="1">
      <alignment horizontal="center" vertical="center" wrapText="1"/>
    </xf>
    <xf numFmtId="0" fontId="0" fillId="0" borderId="2" xfId="0" applyBorder="1" applyAlignment="1">
      <alignment horizontal="center" vertical="center" wrapText="1"/>
    </xf>
    <xf numFmtId="0" fontId="8" fillId="4" borderId="10" xfId="0" applyFont="1" applyFill="1" applyBorder="1" applyAlignment="1">
      <alignment horizontal="center" vertical="center" wrapText="1"/>
    </xf>
    <xf numFmtId="10" fontId="0" fillId="5" borderId="10" xfId="0" applyNumberFormat="1" applyFill="1" applyBorder="1" applyAlignment="1">
      <alignment horizontal="center" vertical="center"/>
    </xf>
    <xf numFmtId="0" fontId="0" fillId="4" borderId="12" xfId="0" applyFill="1" applyBorder="1" applyAlignment="1">
      <alignment horizontal="left" vertical="center" wrapText="1"/>
    </xf>
    <xf numFmtId="0" fontId="0" fillId="4" borderId="13" xfId="0" applyFill="1" applyBorder="1" applyAlignment="1">
      <alignment horizontal="left" vertical="center" wrapText="1"/>
    </xf>
    <xf numFmtId="0" fontId="0" fillId="4" borderId="2" xfId="0" applyFill="1" applyBorder="1" applyAlignment="1">
      <alignment horizontal="left" vertical="center" wrapText="1"/>
    </xf>
    <xf numFmtId="0" fontId="4" fillId="6" borderId="14" xfId="0" applyFont="1" applyFill="1" applyBorder="1" applyAlignment="1">
      <alignment horizontal="center" vertical="center"/>
    </xf>
    <xf numFmtId="0" fontId="7" fillId="6" borderId="4" xfId="0" applyFont="1" applyFill="1" applyBorder="1" applyAlignment="1">
      <alignment horizontal="left" vertical="center" wrapText="1"/>
    </xf>
    <xf numFmtId="0" fontId="7" fillId="6" borderId="4" xfId="0" applyFont="1" applyFill="1" applyBorder="1" applyAlignment="1">
      <alignment horizontal="left" vertical="center"/>
    </xf>
    <xf numFmtId="0" fontId="7" fillId="6" borderId="11" xfId="0" applyFont="1" applyFill="1" applyBorder="1" applyAlignment="1">
      <alignment horizontal="left" vertical="center" wrapText="1"/>
    </xf>
    <xf numFmtId="0" fontId="3" fillId="6" borderId="15" xfId="0" applyFont="1" applyFill="1" applyBorder="1" applyAlignment="1">
      <alignment horizontal="center" vertical="center"/>
    </xf>
    <xf numFmtId="2" fontId="0" fillId="0" borderId="6" xfId="0" applyNumberFormat="1" applyBorder="1" applyAlignment="1">
      <alignment horizontal="center"/>
    </xf>
    <xf numFmtId="2" fontId="0" fillId="0" borderId="7" xfId="0" applyNumberFormat="1" applyBorder="1" applyAlignment="1">
      <alignment horizontal="center"/>
    </xf>
    <xf numFmtId="0" fontId="6" fillId="3" borderId="8" xfId="0" applyFont="1" applyFill="1" applyBorder="1" applyAlignment="1">
      <alignment horizontal="center" vertical="center"/>
    </xf>
    <xf numFmtId="0" fontId="9" fillId="4" borderId="0" xfId="0" applyFont="1" applyFill="1" applyAlignment="1">
      <alignment horizontal="center" vertical="center" wrapText="1"/>
    </xf>
    <xf numFmtId="49" fontId="0" fillId="0" borderId="0" xfId="0" applyNumberFormat="1" applyAlignment="1">
      <alignment horizontal="center"/>
    </xf>
    <xf numFmtId="0" fontId="9" fillId="4" borderId="10" xfId="0" applyFont="1" applyFill="1" applyBorder="1" applyAlignment="1">
      <alignment horizontal="center" vertical="center" wrapText="1"/>
    </xf>
    <xf numFmtId="49" fontId="0" fillId="5" borderId="10" xfId="0" applyNumberFormat="1" applyFill="1" applyBorder="1" applyAlignment="1">
      <alignment horizontal="center"/>
    </xf>
  </cellXfs>
  <cellStyles count="2">
    <cellStyle name="Normal" xfId="0" builtinId="0"/>
    <cellStyle name="Percent" xfId="1" builtinId="5"/>
  </cellStyles>
  <dxfs count="65">
    <dxf>
      <alignment horizontal="general"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vertical="center" textRotation="0" indent="0" justifyLastLine="0" shrinkToFit="0" readingOrder="0"/>
    </dxf>
    <dxf>
      <alignment horizontal="left" wrapText="1"/>
    </dxf>
    <dxf>
      <alignment horizontal="left" wrapText="1"/>
    </dxf>
    <dxf>
      <alignment horizontal="left" wrapText="1"/>
    </dxf>
    <dxf>
      <alignment horizontal="left" wrapText="1"/>
    </dxf>
    <dxf>
      <alignment horizontal="left" vertical="center" textRotation="0" wrapText="1" indent="0" justifyLastLine="0" shrinkToFit="0" readingOrder="0"/>
    </dxf>
    <dxf>
      <alignment horizontal="left" vertical="center" textRotation="0" wrapText="1" indent="0" justifyLastLine="0" shrinkToFit="0" readingOrder="0"/>
    </dxf>
    <dxf>
      <alignment horizontal="center" vertical="bottom"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indent="0" justifyLastLine="0" shrinkToFit="0" readingOrder="0"/>
      <border diagonalUp="0" diagonalDown="0" outline="0">
        <left/>
        <right/>
        <top/>
        <bottom style="medium">
          <color indexed="64"/>
        </bottom>
      </border>
    </dxf>
    <dxf>
      <alignment horizontal="center" vertical="center" textRotation="0" wrapText="0" indent="0" justifyLastLine="0" shrinkToFit="0" readingOrder="0"/>
    </dxf>
    <dxf>
      <alignment horizontal="center" vertical="bottom" textRotation="0" wrapText="0" indent="0" justifyLastLine="0" shrinkToFit="0" readingOrder="0"/>
    </dxf>
    <dxf>
      <fill>
        <patternFill patternType="solid">
          <fgColor indexed="64"/>
          <bgColor theme="0"/>
        </patternFill>
      </fill>
      <alignment horizontal="left" vertical="center" textRotation="0" wrapText="1" indent="0" justifyLastLine="0" shrinkToFit="0" readingOrder="0"/>
      <border diagonalUp="0" diagonalDown="0" outline="0">
        <left style="medium">
          <color rgb="FF000000"/>
        </left>
        <right/>
        <top style="medium">
          <color rgb="FF000000"/>
        </top>
        <bottom style="medium">
          <color rgb="FF000000"/>
        </bottom>
      </border>
    </dxf>
    <dxf>
      <font>
        <b/>
        <i val="0"/>
        <strike val="0"/>
        <condense val="0"/>
        <extend val="0"/>
        <outline val="0"/>
        <shadow val="0"/>
        <u val="none"/>
        <vertAlign val="baseline"/>
        <sz val="11"/>
        <color theme="1"/>
        <name val="Aptos Narrow"/>
        <family val="2"/>
        <scheme val="minor"/>
      </font>
      <fill>
        <patternFill patternType="solid">
          <fgColor indexed="64"/>
          <bgColor theme="2" tint="-0.249977111117893"/>
        </patternFill>
      </fill>
      <alignment horizontal="left" vertical="center" textRotation="0" wrapText="0" indent="0" justifyLastLine="0" shrinkToFit="0" readingOrder="0"/>
      <border diagonalUp="0" diagonalDown="0" outline="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fill>
        <patternFill patternType="none">
          <fgColor indexed="64"/>
          <bgColor auto="1"/>
        </patternFill>
      </fill>
    </dxf>
    <dxf>
      <fill>
        <patternFill patternType="none">
          <fgColor indexed="64"/>
          <bgColor auto="1"/>
        </patternFill>
      </fill>
    </dxf>
    <dxf>
      <numFmt numFmtId="14" formatCode="0.00%"/>
      <fill>
        <patternFill patternType="solid">
          <fgColor indexed="64"/>
          <bgColor theme="0" tint="-0.14999847407452621"/>
        </patternFill>
      </fill>
      <alignment horizontal="center" vertical="center" textRotation="0" wrapText="0" indent="0" justifyLastLine="0" shrinkToFit="0" readingOrder="0"/>
      <border diagonalUp="0" diagonalDown="0" outline="0">
        <left style="medium">
          <color indexed="64"/>
        </left>
        <right/>
        <top style="medium">
          <color indexed="64"/>
        </top>
        <bottom style="medium">
          <color indexed="64"/>
        </bottom>
      </border>
    </dxf>
    <dxf>
      <numFmt numFmtId="14" formatCode="0.00%"/>
      <fill>
        <patternFill patternType="solid">
          <fgColor indexed="64"/>
          <bgColor theme="0" tint="-0.14999847407452621"/>
        </patternFill>
      </fill>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numFmt numFmtId="14" formatCode="0.00%"/>
      <fill>
        <patternFill patternType="solid">
          <fgColor indexed="64"/>
          <bgColor theme="0" tint="-0.14999847407452621"/>
        </patternFill>
      </fill>
      <alignment horizontal="center" vertical="center" textRotation="0" wrapText="0" indent="0" justifyLastLine="0" shrinkToFit="0" readingOrder="0"/>
    </dxf>
    <dxf>
      <font>
        <strike val="0"/>
        <outline val="0"/>
        <shadow val="0"/>
        <u val="none"/>
        <vertAlign val="baseline"/>
        <sz val="11"/>
        <color auto="1"/>
        <name val="Aptos Narrow"/>
        <family val="2"/>
        <scheme val="minor"/>
      </font>
      <fill>
        <patternFill patternType="solid">
          <fgColor indexed="64"/>
          <bgColor theme="0"/>
        </patternFill>
      </fill>
      <alignment horizontal="center" vertical="center" textRotation="0" wrapText="0" indent="0" justifyLastLine="0" shrinkToFit="0" readingOrder="0"/>
      <border diagonalUp="0" diagonalDown="0">
        <left style="medium">
          <color indexed="64"/>
        </left>
        <right style="medium">
          <color indexed="64"/>
        </right>
        <top/>
        <bottom/>
        <vertical style="medium">
          <color indexed="64"/>
        </vertical>
        <horizontal style="medium">
          <color indexed="64"/>
        </horizontal>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vertical="center" textRotation="0" indent="0" justifyLastLine="0" shrinkToFit="0" readingOrder="0"/>
    </dxf>
    <dxf>
      <alignment horizontal="center" vertical="center" textRotation="0" indent="0" justifyLastLine="0" shrinkToFit="0" readingOrder="0"/>
    </dxf>
    <dxf>
      <numFmt numFmtId="14" formatCode="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1CE6513-5E0F-4D75-8A91-2F56AA6604D2}" name="Table19" displayName="Table19" ref="A1:G6" totalsRowShown="0">
  <autoFilter ref="A1:G6" xr:uid="{C1CE6513-5E0F-4D75-8A91-2F56AA6604D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21D9EBF-5A29-4FB1-9B85-9D490632F99E}" name="." dataDxfId="64"/>
    <tableColumn id="2" xr3:uid="{14D66AC2-1D0D-48D2-9ADB-ABA430EE48F9}" name="Push Box" dataDxfId="63"/>
    <tableColumn id="3" xr3:uid="{244581D5-522C-4AA2-97DA-478726E4F698}" name="Move Bottle" dataDxfId="62"/>
    <tableColumn id="4" xr3:uid="{4492C465-B3FE-49C7-9038-0DE921569468}" name="Pick Up Screwdriver" dataDxfId="61"/>
    <tableColumn id="5" xr3:uid="{2A6C046E-C627-42F9-8A66-967740C37B77}" name="Switch Fruits" dataDxfId="60"/>
    <tableColumn id="6" xr3:uid="{B5B68410-AD1F-4A7A-8E6E-AB63294B99AB}" name="Pick Up w Obstacles" dataDxfId="59"/>
    <tableColumn id="7" xr3:uid="{6E436D8E-FACD-4757-8FAC-F08CAD2A7759}" name="Sort Fruits" dataDxfId="58"/>
  </tableColumns>
  <tableStyleInfo name="TableStyleMedium10"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827FFCE7-0BDF-4CB3-8CC5-228DB40F6398}" name="Table20" displayName="Table20" ref="D10:E11" totalsRowShown="0" headerRowDxfId="57" dataDxfId="56">
  <autoFilter ref="D10:E11" xr:uid="{827FFCE7-0BDF-4CB3-8CC5-228DB40F6398}">
    <filterColumn colId="0" hiddenButton="1"/>
    <filterColumn colId="1" hiddenButton="1"/>
  </autoFilter>
  <tableColumns count="2">
    <tableColumn id="1" xr3:uid="{79086780-D874-4539-8B07-ED04529F5BB1}" name="Success w/o Reprompts" dataDxfId="55">
      <calculatedColumnFormula>SUM(B2:G2)/6</calculatedColumnFormula>
    </tableColumn>
    <tableColumn id="2" xr3:uid="{84E7F2E1-E80E-40DD-8B29-8DA7797A08F5}" name="Reprompt succes" dataDxfId="54">
      <calculatedColumnFormula>('Push Box'!F7+'Move Bottle'!E7+'Pick Up Screwdriver'!E7+'Switch Fruit'!E7+'Pick Up w Obstacles'!E7+'Sort Fruits'!E7)/6</calculatedColumnFormula>
    </tableColumn>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9936D1-5BBB-471A-BA69-938EAC017CC0}" name="Table192" displayName="Table192" ref="A1:G6" totalsRowShown="0" headerRowDxfId="53">
  <autoFilter ref="A1:G6" xr:uid="{1B9936D1-5BBB-471A-BA69-938EAC017CC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9654D84-62FF-45EB-9A6D-35376224C4CC}" name="." dataDxfId="52"/>
    <tableColumn id="2" xr3:uid="{DCD75632-47BD-4E44-A193-D920652A8ECD}" name="Push Box" dataDxfId="51"/>
    <tableColumn id="3" xr3:uid="{CF599F48-F128-4D31-AE9E-A9BBC0F85C8E}" name="Move Bottle" dataDxfId="50"/>
    <tableColumn id="4" xr3:uid="{26F4DDDD-D93B-4007-96C2-E203CEB002BD}" name="Pick Up Screwdriver" dataDxfId="49"/>
    <tableColumn id="5" xr3:uid="{E1CF16DD-C6FA-4BB8-9568-BAC25DF99457}" name="Switch Fruits" dataDxfId="48"/>
    <tableColumn id="6" xr3:uid="{9F9D48F2-6402-43AB-8546-D353822BB465}" name="Pick Up w Obstacles" dataDxfId="47"/>
    <tableColumn id="7" xr3:uid="{A27D770A-7851-4203-BACD-74E160743D15}" name="Sort Fruits" dataDxfId="46"/>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0C8B84D-E0B4-43CA-AED4-8972AC5361F4}" name="Table2124" displayName="Table2124" ref="J1:P7" totalsRowShown="0" headerRowDxfId="45" dataDxfId="44">
  <autoFilter ref="J1:P7" xr:uid="{E0C8B84D-E0B4-43CA-AED4-8972AC5361F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74AB647-14A4-4252-BC41-67780100A7FD}" name="Run_x000a_Number" dataDxfId="43"/>
    <tableColumn id="2" xr3:uid="{35B49347-C0A2-4ECF-B8B8-C8180684AD0B}" name="Success" dataDxfId="42"/>
    <tableColumn id="3" xr3:uid="{0DC3C26D-FAA9-41A5-846A-7A3FEAC80E76}" name="Error Cause" dataDxfId="41"/>
    <tableColumn id="4" xr3:uid="{7330C4CF-7958-4634-ADA0-4591D0BE9190}" name="General Comments" dataDxfId="40"/>
    <tableColumn id="5" xr3:uid="{C4F5FF66-5322-42F2-921B-B6F78C7CA397}" name="Success_x000a_with user" dataDxfId="39"/>
    <tableColumn id="6" xr3:uid="{EAF281F0-1E7A-4EF9-AFBE-ACA735401D80}" name="Extra num prompts" dataDxfId="38"/>
    <tableColumn id="7" xr3:uid="{7F0307B9-6AC7-4637-AD7C-E7ACBFFE0AFE}" name="Time Taken [min]" dataDxfId="37"/>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06197B-09D1-4F22-B7CC-2B15219CEBF2}" name="Table205" displayName="Table205" ref="A9:B10" totalsRowShown="0" headerRowDxfId="36" dataDxfId="35">
  <autoFilter ref="A9:B10" xr:uid="{AD06197B-09D1-4F22-B7CC-2B15219CEBF2}">
    <filterColumn colId="0" hiddenButton="1"/>
    <filterColumn colId="1" hiddenButton="1"/>
  </autoFilter>
  <tableColumns count="2">
    <tableColumn id="1" xr3:uid="{1375BDFF-5D62-46C7-8EA5-F7E2A8ECFD8F}" name="Success w/o Reprompts" dataDxfId="34"/>
    <tableColumn id="2" xr3:uid="{15D5794B-7F63-495E-9A7A-4E7B58EB5314}" name="Reprompt succes" dataDxfId="33"/>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8E58929-CA95-4696-972C-9A078CDD9552}" name="Table5" displayName="Table5" ref="S1:T7" totalsRowShown="0" headerRowDxfId="32" dataDxfId="31" tableBorderDxfId="30">
  <autoFilter ref="S1:T7" xr:uid="{C8E58929-CA95-4696-972C-9A078CDD9552}">
    <filterColumn colId="0" hiddenButton="1"/>
    <filterColumn colId="1" hiddenButton="1"/>
  </autoFilter>
  <tableColumns count="2">
    <tableColumn id="1" xr3:uid="{393DE179-B919-44F7-8C31-C8194B7C52CC}" name="Task" dataDxfId="29"/>
    <tableColumn id="2" xr3:uid="{67FC4312-01A1-483F-A98E-C461661E5BAA}" name="Overall remarks " dataDxfId="28"/>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23E280-08CC-45D6-BB5C-5ACD42811310}" name="Table2" displayName="Table2" ref="A1:H7" totalsRowShown="0">
  <autoFilter ref="A1:H7" xr:uid="{0423E280-08CC-45D6-BB5C-5ACD4281131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B9B3B01-0E25-416A-B24D-D1B5943D6346}" name="Trial_x000a_Number" dataDxfId="27"/>
    <tableColumn id="2" xr3:uid="{1A851786-AFE0-4C43-AAE0-3AA289E48508}" name="Success" dataDxfId="26"/>
    <tableColumn id="9" xr3:uid="{E567E6D6-9FC8-4A9F-8F4D-6B0D4483171B}" name="Initial prompt" dataDxfId="25"/>
    <tableColumn id="3" xr3:uid="{21FA0D18-1F0A-47E2-A348-2D5C04D7E725}" name="Error Cause" dataDxfId="24"/>
    <tableColumn id="4" xr3:uid="{B2B52B93-ECC2-4EA0-BB1F-4F6C40725CA3}" name="Comments"/>
    <tableColumn id="5" xr3:uid="{64C5A1F7-334A-4238-8937-24FFD1CA31BD}" name="Success_x000a_with user"/>
    <tableColumn id="6" xr3:uid="{5D847A38-4345-4E60-BB0A-7321F0E91BBC}" name="Extra num prompts"/>
    <tableColumn id="7" xr3:uid="{E719A047-9BB5-4582-AB47-0CE903E86A02}" name="Time Taken [min]"/>
  </tableColumns>
  <tableStyleInfo name="TableStyleMedium10"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D4BB001-B211-4B5E-B81B-C0303233C020}" name="Table212" displayName="Table212" ref="A1:G7" totalsRowShown="0" headerRowDxfId="23">
  <autoFilter ref="A1:G7" xr:uid="{8D4BB001-B211-4B5E-B81B-C0303233C02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83261AF-159A-4F93-8BB9-74CE1D076791}" name="Run_x000a_Number" dataDxfId="22"/>
    <tableColumn id="2" xr3:uid="{D938907B-24E6-4D23-99FC-16F5B8EF9116}" name="Success" dataDxfId="21"/>
    <tableColumn id="3" xr3:uid="{BDABBABC-503C-4E88-AD8C-5C0B5DF36C3E}" name="Error Cause" dataDxfId="20"/>
    <tableColumn id="4" xr3:uid="{9DCD976E-B919-4567-BEE1-3407B4C9786A}" name="Comments" dataDxfId="19"/>
    <tableColumn id="5" xr3:uid="{85F50937-64BC-4246-9F0C-A9D98B75A52C}" name="Success_x000a_with user" dataDxfId="18"/>
    <tableColumn id="6" xr3:uid="{D32B71D4-7BE9-4E8F-8E1D-E12DF9C13ED5}" name="Extra num prompts" dataDxfId="17"/>
    <tableColumn id="7" xr3:uid="{9087E9FD-6080-46AC-98F5-63B9C26BBF3B}" name="Time Taken [min]" dataDxfId="16"/>
  </tableColumns>
  <tableStyleInfo name="TableStyleMedium10"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6459305-2067-4C4D-8062-663D8BC64354}" name="Table21213" displayName="Table21213" ref="A1:G7" totalsRowShown="0" headerRowDxfId="15">
  <autoFilter ref="A1:G7" xr:uid="{46459305-2067-4C4D-8062-663D8BC6435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45D3BDA-C67A-4022-9FD8-00F911743206}" name="Run_x000a_Number" dataDxfId="14"/>
    <tableColumn id="2" xr3:uid="{B3F8A258-6387-4682-92C6-008BA0D997ED}" name="Success" dataDxfId="13"/>
    <tableColumn id="3" xr3:uid="{11827F39-AAB4-4441-9FD2-1D46F1553466}" name="Error Cause" dataDxfId="12"/>
    <tableColumn id="4" xr3:uid="{97239E44-6F33-4B34-98EB-8C2ED64B99C8}" name="Comments"/>
    <tableColumn id="5" xr3:uid="{DCD5DF36-7CA0-4B8F-923F-43E27446AD2D}" name="Success_x000a_with user"/>
    <tableColumn id="6" xr3:uid="{56FAD0B7-A73F-4DCB-87B9-D70B2BD7D754}" name="Extra num prompts"/>
    <tableColumn id="7" xr3:uid="{AE8B1F11-2F19-47CA-B248-BC8404487EBA}" name="Time Taken [min]"/>
  </tableColumns>
  <tableStyleInfo name="TableStyleMedium10"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278816D-17CA-4D2B-A56B-BC38B70A17B5}" name="Table2121315" displayName="Table2121315" ref="A1:G7" totalsRowShown="0" headerRowDxfId="11">
  <autoFilter ref="A1:G7" xr:uid="{F278816D-17CA-4D2B-A56B-BC38B70A17B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1A5F330-1E48-4A2F-B930-DC65B10978AD}" name="Run_x000a_Number" dataDxfId="10"/>
    <tableColumn id="2" xr3:uid="{7A211C17-D4F4-4D0B-AE2C-9AFF6E08B808}" name="Success" dataDxfId="9"/>
    <tableColumn id="3" xr3:uid="{96EDBA0B-C428-41D0-B720-DBB24A628CD0}" name="Error Cause" dataDxfId="8"/>
    <tableColumn id="4" xr3:uid="{F05E2EDE-4D70-4AC8-B183-FB70D6CF4B18}" name="Comments"/>
    <tableColumn id="5" xr3:uid="{B214FAA1-F70A-4B4F-834D-C7D3B135C6E7}" name="Success_x000a_with user"/>
    <tableColumn id="6" xr3:uid="{25FC20B4-1F7D-4016-8B43-E55A3E58DF35}" name="Extra num prompts"/>
    <tableColumn id="7" xr3:uid="{A2E2D068-4AC3-4BFB-B20E-65F9202687F3}" name="Time Taken [min]"/>
  </tableColumns>
  <tableStyleInfo name="TableStyleMedium10"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010C9E8-31C3-4983-A95D-0B8F0E3B5E58}" name="Table2121316" displayName="Table2121316" ref="A1:G7" totalsRowShown="0" headerRowDxfId="7">
  <autoFilter ref="A1:G7" xr:uid="{5010C9E8-31C3-4983-A95D-0B8F0E3B5E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79AF127-D40D-405A-896C-99A3F163823A}" name="Run_x000a_Number" dataDxfId="6"/>
    <tableColumn id="2" xr3:uid="{9748E68C-E2D4-4E5C-A8DE-77F29BFBF45B}" name="Success" dataDxfId="5"/>
    <tableColumn id="3" xr3:uid="{A7AD9D6B-A1CE-41CB-A0B2-91A2F4190319}" name="Error Cause" dataDxfId="4"/>
    <tableColumn id="4" xr3:uid="{EF52D15B-5F78-4DED-9125-AC88641338AB}" name="Comments"/>
    <tableColumn id="5" xr3:uid="{84CB0350-C7FA-4CBA-AF37-3572F40CB49D}" name="Success_x000a_with user"/>
    <tableColumn id="6" xr3:uid="{F3EBA68D-0230-422C-8C85-7961D3177393}" name="Extra num prompts"/>
    <tableColumn id="7" xr3:uid="{35B38767-BA6A-473A-89A5-C229E37BF442}" name="Time Taken [min]"/>
  </tableColumns>
  <tableStyleInfo name="TableStyleMedium10"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7AD9F3A-75E0-4669-8F1D-109B4D4B966B}" name="Table2121317" displayName="Table2121317" ref="A1:G7" totalsRowShown="0" headerRowDxfId="3">
  <autoFilter ref="A1:G7" xr:uid="{27AD9F3A-75E0-4669-8F1D-109B4D4B966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FFE8BBD-2125-401A-B5A4-1D893B9CA5EA}" name="Run_x000a_Number" dataDxfId="2"/>
    <tableColumn id="2" xr3:uid="{4E002953-9B2F-4C0C-83CC-76C5290011AF}" name="Success" dataDxfId="1"/>
    <tableColumn id="3" xr3:uid="{44A8D919-A8C3-4F17-9512-DBCF52510C43}" name="Error Cause" dataDxfId="0"/>
    <tableColumn id="4" xr3:uid="{5FEA51F0-F71B-47B2-B86F-071A63A12DAB}" name="Comments"/>
    <tableColumn id="5" xr3:uid="{CDB6E02A-E22A-4A74-AF88-A30FCA9E9E53}" name="Success_x000a_with user"/>
    <tableColumn id="7" xr3:uid="{8EABD36D-49D3-4ED9-B8D3-9C26BA19EC65}" name="Extra num prompts"/>
    <tableColumn id="6" xr3:uid="{55B4CF1A-43DF-4589-8FEA-77622B639564}" name="Time Taken [min]"/>
  </tableColumns>
  <tableStyleInfo name="TableStyleMedium10"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_rels/sheet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97EE6-6C0C-4C1A-85E9-5435FAF91636}">
  <dimension ref="A1:O14"/>
  <sheetViews>
    <sheetView tabSelected="1" zoomScaleNormal="100" workbookViewId="0">
      <selection activeCell="F14" sqref="F14"/>
    </sheetView>
  </sheetViews>
  <sheetFormatPr defaultRowHeight="14.4" x14ac:dyDescent="0.3"/>
  <cols>
    <col min="1" max="1" width="14.33203125" customWidth="1"/>
    <col min="2" max="2" width="11.44140625" customWidth="1"/>
    <col min="3" max="3" width="11.6640625" customWidth="1"/>
    <col min="4" max="4" width="18.6640625" customWidth="1"/>
    <col min="5" max="5" width="12.109375" customWidth="1"/>
    <col min="6" max="6" width="19" customWidth="1"/>
    <col min="7" max="8" width="11.5546875" customWidth="1"/>
    <col min="9" max="9" width="18.77734375" bestFit="1" customWidth="1"/>
    <col min="10" max="10" width="41.5546875" style="3" bestFit="1" customWidth="1"/>
    <col min="11" max="11" width="59" style="3" customWidth="1"/>
    <col min="14" max="14" width="19.33203125" customWidth="1"/>
    <col min="15" max="15" width="58.109375" customWidth="1"/>
  </cols>
  <sheetData>
    <row r="1" spans="1:15" ht="15" thickBot="1" x14ac:dyDescent="0.35">
      <c r="A1" t="s">
        <v>0</v>
      </c>
      <c r="B1" t="s">
        <v>65</v>
      </c>
      <c r="C1" t="s">
        <v>66</v>
      </c>
      <c r="D1" t="s">
        <v>1</v>
      </c>
      <c r="E1" t="s">
        <v>67</v>
      </c>
      <c r="F1" t="s">
        <v>2</v>
      </c>
      <c r="G1" t="s">
        <v>68</v>
      </c>
      <c r="I1" s="34" t="s">
        <v>74</v>
      </c>
      <c r="J1" s="34" t="s">
        <v>5</v>
      </c>
      <c r="K1" s="35" t="s">
        <v>23</v>
      </c>
      <c r="N1" s="34" t="s">
        <v>74</v>
      </c>
      <c r="O1" s="35" t="s">
        <v>23</v>
      </c>
    </row>
    <row r="2" spans="1:15" ht="43.8" thickBot="1" x14ac:dyDescent="0.35">
      <c r="A2" s="12" t="s">
        <v>78</v>
      </c>
      <c r="B2" s="36">
        <f>'Push Box'!B7</f>
        <v>0</v>
      </c>
      <c r="C2" s="36">
        <f>'Move Bottle'!B7</f>
        <v>0.8</v>
      </c>
      <c r="D2" s="36">
        <f>'Pick Up Screwdriver'!B7</f>
        <v>0.2</v>
      </c>
      <c r="E2" s="36">
        <f>'Switch Fruit'!B7</f>
        <v>0</v>
      </c>
      <c r="F2" s="36">
        <f>'Pick Up w Obstacles'!B7</f>
        <v>0</v>
      </c>
      <c r="G2" s="36">
        <f>'Sort Fruits'!B7</f>
        <v>0</v>
      </c>
      <c r="I2" s="37" t="s">
        <v>65</v>
      </c>
      <c r="J2" s="39" t="s">
        <v>10</v>
      </c>
      <c r="K2" s="39" t="s">
        <v>71</v>
      </c>
      <c r="N2" s="37" t="s">
        <v>65</v>
      </c>
      <c r="O2" s="39" t="s">
        <v>71</v>
      </c>
    </row>
    <row r="3" spans="1:15" ht="43.8" thickBot="1" x14ac:dyDescent="0.35">
      <c r="A3" s="10" t="s">
        <v>110</v>
      </c>
      <c r="B3" s="36">
        <f>'Push Box'!E9</f>
        <v>0.2</v>
      </c>
      <c r="C3" s="36">
        <f>'Move Bottle'!D9</f>
        <v>0.8</v>
      </c>
      <c r="D3" s="36">
        <f>'Pick Up Screwdriver'!D9</f>
        <v>1</v>
      </c>
      <c r="E3" s="36">
        <f>'Switch Fruit'!D9</f>
        <v>0.4</v>
      </c>
      <c r="F3" s="36">
        <f>'Pick Up w Obstacles'!D9</f>
        <v>0</v>
      </c>
      <c r="G3" s="36">
        <f>'Sort Fruits'!E7</f>
        <v>0</v>
      </c>
      <c r="I3" s="37" t="s">
        <v>66</v>
      </c>
      <c r="J3" s="39" t="s">
        <v>72</v>
      </c>
      <c r="K3" s="39" t="s">
        <v>25</v>
      </c>
      <c r="N3" s="37" t="s">
        <v>66</v>
      </c>
      <c r="O3" s="39" t="s">
        <v>25</v>
      </c>
    </row>
    <row r="4" spans="1:15" ht="29.4" thickBot="1" x14ac:dyDescent="0.35">
      <c r="A4" s="12" t="s">
        <v>69</v>
      </c>
      <c r="B4" s="3">
        <f>'Push Box'!G7</f>
        <v>2.4</v>
      </c>
      <c r="C4" s="3">
        <f>'Move Bottle'!F7</f>
        <v>0</v>
      </c>
      <c r="D4" s="3">
        <f>'Pick Up Screwdriver'!F7</f>
        <v>1.6</v>
      </c>
      <c r="E4" s="3">
        <f>'Switch Fruit'!F7</f>
        <v>1.2</v>
      </c>
      <c r="F4" s="3">
        <f>'Pick Up w Obstacles'!F7</f>
        <v>0</v>
      </c>
      <c r="G4" s="3">
        <f>'Sort Fruits'!F7</f>
        <v>2.6</v>
      </c>
      <c r="I4" s="38" t="s">
        <v>1</v>
      </c>
      <c r="J4" s="39" t="s">
        <v>34</v>
      </c>
      <c r="K4" s="26" t="s">
        <v>63</v>
      </c>
      <c r="N4" s="38" t="s">
        <v>1</v>
      </c>
      <c r="O4" s="26" t="s">
        <v>63</v>
      </c>
    </row>
    <row r="5" spans="1:15" ht="29.4" thickBot="1" x14ac:dyDescent="0.35">
      <c r="A5" s="12" t="s">
        <v>102</v>
      </c>
      <c r="B5" s="48" t="str">
        <f>'Push Box'!M3</f>
        <v>4:00</v>
      </c>
      <c r="C5" s="48" t="str">
        <f>'Move Bottle'!L3</f>
        <v>2:00</v>
      </c>
      <c r="D5" s="48" t="str">
        <f>'Pick Up Screwdriver'!L3</f>
        <v>2:56</v>
      </c>
      <c r="E5" s="48" t="str">
        <f>'Switch Fruit'!L3</f>
        <v>7:53</v>
      </c>
      <c r="F5" s="48" t="str">
        <f>'Pick Up w Obstacles'!L3</f>
        <v>1:26</v>
      </c>
      <c r="G5" s="48" t="str">
        <f>'Sort Fruits'!L3</f>
        <v>13:24</v>
      </c>
      <c r="I5" s="38" t="s">
        <v>67</v>
      </c>
      <c r="J5" s="39" t="s">
        <v>45</v>
      </c>
      <c r="K5" s="26" t="s">
        <v>46</v>
      </c>
      <c r="N5" s="38" t="s">
        <v>67</v>
      </c>
      <c r="O5" s="26" t="s">
        <v>97</v>
      </c>
    </row>
    <row r="6" spans="1:15" ht="43.8" thickBot="1" x14ac:dyDescent="0.35">
      <c r="A6" s="12" t="s">
        <v>91</v>
      </c>
      <c r="B6" s="48" t="str">
        <f>'Push Box'!L3</f>
        <v>3:01</v>
      </c>
      <c r="C6" s="3" t="str">
        <f>'Move Bottle'!K3</f>
        <v>N/A</v>
      </c>
      <c r="D6" s="48" t="str">
        <f>'Pick Up Screwdriver'!K3</f>
        <v>3:30</v>
      </c>
      <c r="E6" s="48" t="str">
        <f>'Switch Fruit'!K3</f>
        <v>7:23</v>
      </c>
      <c r="F6" s="48" t="str">
        <f>'Pick Up w Obstacles'!K3</f>
        <v>N/A</v>
      </c>
      <c r="G6" s="48" t="str">
        <f>'Sort Fruits'!K3</f>
        <v>N/A</v>
      </c>
      <c r="I6" s="38" t="s">
        <v>75</v>
      </c>
      <c r="J6" s="39" t="s">
        <v>54</v>
      </c>
      <c r="K6" s="26" t="s">
        <v>55</v>
      </c>
      <c r="N6" s="38" t="s">
        <v>75</v>
      </c>
      <c r="O6" s="26" t="s">
        <v>55</v>
      </c>
    </row>
    <row r="7" spans="1:15" ht="29.4" thickBot="1" x14ac:dyDescent="0.35">
      <c r="I7" s="37" t="s">
        <v>76</v>
      </c>
      <c r="J7" s="39" t="s">
        <v>61</v>
      </c>
      <c r="K7" s="26" t="s">
        <v>62</v>
      </c>
      <c r="N7" s="37" t="s">
        <v>76</v>
      </c>
      <c r="O7" s="26" t="s">
        <v>62</v>
      </c>
    </row>
    <row r="10" spans="1:15" ht="28.8" x14ac:dyDescent="0.3">
      <c r="D10" s="9" t="s">
        <v>73</v>
      </c>
      <c r="E10" s="9" t="s">
        <v>64</v>
      </c>
      <c r="F10" s="47"/>
    </row>
    <row r="11" spans="1:15" x14ac:dyDescent="0.3">
      <c r="D11" s="36">
        <f>SUM(B2:G2)/6</f>
        <v>0.16666666666666666</v>
      </c>
      <c r="E11" s="36">
        <f>('Push Box'!F7+'Move Bottle'!E7+'Pick Up Screwdriver'!E7+'Switch Fruit'!E7+'Pick Up w Obstacles'!E7+'Sort Fruits'!E7)/6</f>
        <v>0.26666666666666666</v>
      </c>
    </row>
    <row r="12" spans="1:15" x14ac:dyDescent="0.3">
      <c r="D12" s="64" t="s">
        <v>70</v>
      </c>
      <c r="E12" s="64"/>
    </row>
    <row r="13" spans="1:15" x14ac:dyDescent="0.3">
      <c r="D13" s="62">
        <v>0.4</v>
      </c>
      <c r="E13" s="63"/>
    </row>
    <row r="14" spans="1:15" x14ac:dyDescent="0.3">
      <c r="J14" s="4"/>
    </row>
  </sheetData>
  <mergeCells count="2">
    <mergeCell ref="D13:E13"/>
    <mergeCell ref="D12:E12"/>
  </mergeCells>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20116-10E0-457B-91E2-D40D5CB1E70A}">
  <dimension ref="A1:T12"/>
  <sheetViews>
    <sheetView workbookViewId="0">
      <selection activeCell="S1" sqref="S1:T7"/>
    </sheetView>
  </sheetViews>
  <sheetFormatPr defaultRowHeight="14.4" x14ac:dyDescent="0.3"/>
  <cols>
    <col min="1" max="1" width="12.21875" bestFit="1" customWidth="1"/>
    <col min="2" max="2" width="10.5546875" bestFit="1" customWidth="1"/>
    <col min="3" max="3" width="12.88671875" bestFit="1" customWidth="1"/>
    <col min="4" max="4" width="11.77734375" customWidth="1"/>
    <col min="5" max="5" width="14" bestFit="1" customWidth="1"/>
    <col min="6" max="6" width="10.77734375" customWidth="1"/>
    <col min="7" max="7" width="11.77734375" bestFit="1" customWidth="1"/>
    <col min="12" max="12" width="29.44140625" customWidth="1"/>
    <col min="13" max="13" width="27.6640625" customWidth="1"/>
    <col min="14" max="14" width="10" customWidth="1"/>
    <col min="15" max="15" width="10.44140625" customWidth="1"/>
    <col min="16" max="16" width="10.33203125" bestFit="1" customWidth="1"/>
    <col min="19" max="19" width="18.5546875" bestFit="1" customWidth="1"/>
    <col min="20" max="20" width="70.33203125" customWidth="1"/>
  </cols>
  <sheetData>
    <row r="1" spans="1:20" ht="29.4" thickBot="1" x14ac:dyDescent="0.35">
      <c r="A1" s="3" t="s">
        <v>0</v>
      </c>
      <c r="B1" s="3" t="s">
        <v>65</v>
      </c>
      <c r="C1" s="3" t="s">
        <v>66</v>
      </c>
      <c r="D1" s="9" t="s">
        <v>1</v>
      </c>
      <c r="E1" s="3" t="s">
        <v>67</v>
      </c>
      <c r="F1" s="9" t="s">
        <v>2</v>
      </c>
      <c r="G1" s="3" t="s">
        <v>68</v>
      </c>
      <c r="J1" s="9" t="s">
        <v>21</v>
      </c>
      <c r="K1" s="3" t="s">
        <v>4</v>
      </c>
      <c r="L1" s="3" t="s">
        <v>6</v>
      </c>
      <c r="M1" s="3" t="s">
        <v>98</v>
      </c>
      <c r="N1" s="9" t="s">
        <v>8</v>
      </c>
      <c r="O1" s="9" t="s">
        <v>9</v>
      </c>
      <c r="P1" s="9" t="s">
        <v>79</v>
      </c>
      <c r="S1" s="57" t="s">
        <v>74</v>
      </c>
      <c r="T1" s="61" t="s">
        <v>23</v>
      </c>
    </row>
    <row r="2" spans="1:20" ht="43.8" thickBot="1" x14ac:dyDescent="0.35">
      <c r="A2" s="12" t="s">
        <v>78</v>
      </c>
      <c r="B2" s="36">
        <f>'Push Box'!B7</f>
        <v>0</v>
      </c>
      <c r="C2" s="36">
        <f>'Move Bottle'!B7</f>
        <v>0.8</v>
      </c>
      <c r="D2" s="36">
        <f>'Pick Up Screwdriver'!B7</f>
        <v>0.2</v>
      </c>
      <c r="E2" s="36">
        <f>'Switch Fruit'!B7</f>
        <v>0</v>
      </c>
      <c r="F2" s="36">
        <f>'Pick Up w Obstacles'!B7</f>
        <v>0</v>
      </c>
      <c r="G2" s="36">
        <f>'Sort Fruits'!B7</f>
        <v>0</v>
      </c>
      <c r="J2" s="3">
        <v>1</v>
      </c>
      <c r="K2" s="9"/>
      <c r="L2" s="9"/>
      <c r="M2" s="9"/>
      <c r="N2" s="9"/>
      <c r="O2" s="9"/>
      <c r="P2" s="49"/>
      <c r="S2" s="58" t="s">
        <v>65</v>
      </c>
      <c r="T2" s="54" t="s">
        <v>71</v>
      </c>
    </row>
    <row r="3" spans="1:20" ht="43.8" thickBot="1" x14ac:dyDescent="0.35">
      <c r="A3" s="10" t="s">
        <v>77</v>
      </c>
      <c r="B3" s="36">
        <f>'Push Box'!F7</f>
        <v>0.2</v>
      </c>
      <c r="C3" s="36">
        <f>'Move Bottle'!E7</f>
        <v>0</v>
      </c>
      <c r="D3" s="36">
        <f>'Pick Up Screwdriver'!E7</f>
        <v>1</v>
      </c>
      <c r="E3" s="36">
        <f>'Switch Fruit'!E7</f>
        <v>0.4</v>
      </c>
      <c r="F3" s="36">
        <f>'Pick Up w Obstacles'!E7</f>
        <v>0</v>
      </c>
      <c r="G3" s="36">
        <f>'Sort Fruits'!E7</f>
        <v>0</v>
      </c>
      <c r="J3" s="3">
        <v>2</v>
      </c>
      <c r="K3" s="9"/>
      <c r="L3" s="9"/>
      <c r="M3" s="9"/>
      <c r="N3" s="9"/>
      <c r="O3" s="9"/>
      <c r="P3" s="49"/>
      <c r="S3" s="58" t="s">
        <v>66</v>
      </c>
      <c r="T3" s="54" t="s">
        <v>25</v>
      </c>
    </row>
    <row r="4" spans="1:20" ht="43.8" thickBot="1" x14ac:dyDescent="0.35">
      <c r="A4" s="12" t="s">
        <v>69</v>
      </c>
      <c r="B4" s="3">
        <f>('Push Box'!G2)/1</f>
        <v>3</v>
      </c>
      <c r="C4" s="3" t="s">
        <v>90</v>
      </c>
      <c r="D4" s="3">
        <f>('Pick Up Screwdriver'!F2+'Pick Up Screwdriver'!F3+Table21213[[#This Row],[Extra num prompts]]+'Pick Up Screwdriver'!F5)/4</f>
        <v>2</v>
      </c>
      <c r="E4" s="3">
        <f>('Switch Fruit'!F2+'Switch Fruit'!F5)/2</f>
        <v>1.5</v>
      </c>
      <c r="F4" s="3" t="s">
        <v>90</v>
      </c>
      <c r="G4" s="3" t="s">
        <v>90</v>
      </c>
      <c r="J4" s="3">
        <v>3</v>
      </c>
      <c r="K4" s="9"/>
      <c r="L4" s="9"/>
      <c r="M4" s="9"/>
      <c r="N4" s="9"/>
      <c r="O4" s="9"/>
      <c r="P4" s="49"/>
      <c r="S4" s="59" t="s">
        <v>1</v>
      </c>
      <c r="T4" s="55" t="s">
        <v>63</v>
      </c>
    </row>
    <row r="5" spans="1:20" ht="43.8" thickBot="1" x14ac:dyDescent="0.35">
      <c r="A5" s="12" t="s">
        <v>92</v>
      </c>
      <c r="B5" s="3" t="str">
        <f>'Push Box'!K3</f>
        <v>N/A</v>
      </c>
      <c r="C5" s="48" t="str">
        <f>'Move Bottle'!J3</f>
        <v>1:20</v>
      </c>
      <c r="D5" s="48" t="str">
        <f>'Pick Up Screwdriver'!J3</f>
        <v>0:41</v>
      </c>
      <c r="E5" s="48" t="str">
        <f>'Switch Fruit'!J3</f>
        <v>N/A</v>
      </c>
      <c r="F5" s="48" t="str">
        <f>'Pick Up w Obstacles'!J3</f>
        <v>N/A</v>
      </c>
      <c r="G5" s="48" t="str">
        <f>'Sort Fruits'!J3</f>
        <v>N/A</v>
      </c>
      <c r="J5" s="3">
        <v>4</v>
      </c>
      <c r="K5" s="9"/>
      <c r="L5" s="9"/>
      <c r="M5" s="9"/>
      <c r="N5" s="9"/>
      <c r="O5" s="9"/>
      <c r="P5" s="49"/>
      <c r="S5" s="59" t="s">
        <v>67</v>
      </c>
      <c r="T5" s="55" t="s">
        <v>97</v>
      </c>
    </row>
    <row r="6" spans="1:20" ht="43.8" thickBot="1" x14ac:dyDescent="0.35">
      <c r="A6" s="12" t="s">
        <v>91</v>
      </c>
      <c r="B6" s="48" t="str">
        <f>'Push Box'!L3</f>
        <v>3:01</v>
      </c>
      <c r="C6" s="3" t="str">
        <f>'Move Bottle'!K3</f>
        <v>N/A</v>
      </c>
      <c r="D6" s="48" t="str">
        <f>'Pick Up Screwdriver'!K3</f>
        <v>3:30</v>
      </c>
      <c r="E6" s="48" t="str">
        <f>'Switch Fruit'!K3</f>
        <v>7:23</v>
      </c>
      <c r="F6" s="48" t="str">
        <f>'Pick Up w Obstacles'!K3</f>
        <v>N/A</v>
      </c>
      <c r="G6" s="48" t="str">
        <f>'Sort Fruits'!K3</f>
        <v>N/A</v>
      </c>
      <c r="J6" s="6">
        <v>5</v>
      </c>
      <c r="K6" s="11"/>
      <c r="L6" s="11"/>
      <c r="M6" s="9"/>
      <c r="N6" s="11"/>
      <c r="O6" s="11"/>
      <c r="P6" s="50"/>
      <c r="S6" s="59" t="s">
        <v>75</v>
      </c>
      <c r="T6" s="55" t="s">
        <v>55</v>
      </c>
    </row>
    <row r="7" spans="1:20" ht="28.8" x14ac:dyDescent="0.3">
      <c r="J7" s="3" t="s">
        <v>19</v>
      </c>
      <c r="K7" s="9"/>
      <c r="L7" s="9"/>
      <c r="M7" s="51"/>
      <c r="N7" s="9"/>
      <c r="O7" s="9"/>
      <c r="P7" s="9"/>
      <c r="S7" s="60" t="s">
        <v>76</v>
      </c>
      <c r="T7" s="56" t="s">
        <v>62</v>
      </c>
    </row>
    <row r="8" spans="1:20" ht="15" thickBot="1" x14ac:dyDescent="0.35"/>
    <row r="9" spans="1:20" ht="29.4" thickBot="1" x14ac:dyDescent="0.35">
      <c r="A9" s="52" t="s">
        <v>73</v>
      </c>
      <c r="B9" s="52" t="s">
        <v>64</v>
      </c>
      <c r="C9" s="67" t="s">
        <v>100</v>
      </c>
      <c r="D9" s="67"/>
    </row>
    <row r="10" spans="1:20" ht="15" thickBot="1" x14ac:dyDescent="0.35">
      <c r="A10" s="53">
        <v>0.16669999999999999</v>
      </c>
      <c r="B10" s="53">
        <v>0.26669999999999999</v>
      </c>
      <c r="C10" s="68" t="s">
        <v>99</v>
      </c>
      <c r="D10" s="68"/>
    </row>
    <row r="11" spans="1:20" ht="29.4" customHeight="1" x14ac:dyDescent="0.3">
      <c r="A11" s="65"/>
      <c r="B11" s="65"/>
    </row>
    <row r="12" spans="1:20" x14ac:dyDescent="0.3">
      <c r="A12" s="66"/>
      <c r="B12" s="66"/>
    </row>
  </sheetData>
  <mergeCells count="4">
    <mergeCell ref="A11:B11"/>
    <mergeCell ref="A12:B12"/>
    <mergeCell ref="C9:D9"/>
    <mergeCell ref="C10:D10"/>
  </mergeCells>
  <pageMargins left="0.7" right="0.7" top="0.75" bottom="0.75"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D39A4-1668-4BDD-B210-B5815D1C931D}">
  <dimension ref="A1:M12"/>
  <sheetViews>
    <sheetView workbookViewId="0">
      <selection activeCell="E10" sqref="E10"/>
    </sheetView>
  </sheetViews>
  <sheetFormatPr defaultRowHeight="15" customHeight="1" x14ac:dyDescent="0.3"/>
  <cols>
    <col min="1" max="1" width="14.44140625" customWidth="1"/>
    <col min="2" max="2" width="9.6640625" customWidth="1"/>
    <col min="3" max="3" width="35.109375" customWidth="1"/>
    <col min="4" max="4" width="82.5546875" customWidth="1"/>
    <col min="5" max="5" width="54.109375" customWidth="1"/>
    <col min="6" max="6" width="20.44140625" customWidth="1"/>
    <col min="8" max="8" width="10.44140625" customWidth="1"/>
    <col min="10" max="10" width="10.109375" customWidth="1"/>
    <col min="11" max="11" width="9.77734375" customWidth="1"/>
  </cols>
  <sheetData>
    <row r="1" spans="1:13" ht="43.2" x14ac:dyDescent="0.3">
      <c r="A1" s="9" t="s">
        <v>3</v>
      </c>
      <c r="B1" s="3" t="s">
        <v>4</v>
      </c>
      <c r="C1" s="10" t="s">
        <v>5</v>
      </c>
      <c r="D1" s="4" t="s">
        <v>6</v>
      </c>
      <c r="E1" s="4" t="s">
        <v>7</v>
      </c>
      <c r="F1" s="9" t="s">
        <v>8</v>
      </c>
      <c r="G1" s="9" t="s">
        <v>9</v>
      </c>
      <c r="H1" s="9" t="s">
        <v>79</v>
      </c>
      <c r="K1" s="40" t="s">
        <v>81</v>
      </c>
      <c r="L1" s="40" t="s">
        <v>82</v>
      </c>
      <c r="M1" t="s">
        <v>19</v>
      </c>
    </row>
    <row r="2" spans="1:13" ht="28.8" x14ac:dyDescent="0.3">
      <c r="A2" s="1">
        <v>1</v>
      </c>
      <c r="B2" s="3">
        <v>0</v>
      </c>
      <c r="C2" s="12" t="s">
        <v>10</v>
      </c>
      <c r="D2" s="12" t="s">
        <v>11</v>
      </c>
      <c r="E2" s="12" t="s">
        <v>12</v>
      </c>
      <c r="F2" s="9">
        <v>1</v>
      </c>
      <c r="G2" s="9">
        <v>3</v>
      </c>
      <c r="H2" s="41">
        <v>3.02</v>
      </c>
      <c r="J2" t="s">
        <v>80</v>
      </c>
      <c r="K2" t="s">
        <v>90</v>
      </c>
      <c r="L2" s="41">
        <f>Table2[[#This Row],[Time Taken '[min']]]</f>
        <v>3.02</v>
      </c>
      <c r="M2">
        <f>H7</f>
        <v>4.008</v>
      </c>
    </row>
    <row r="3" spans="1:13" ht="28.8" x14ac:dyDescent="0.3">
      <c r="A3" s="1">
        <v>2</v>
      </c>
      <c r="B3" s="3">
        <v>0</v>
      </c>
      <c r="C3" s="12" t="s">
        <v>10</v>
      </c>
      <c r="D3" s="12" t="s">
        <v>93</v>
      </c>
      <c r="E3" s="12" t="s">
        <v>13</v>
      </c>
      <c r="F3" s="9">
        <v>0</v>
      </c>
      <c r="G3" s="9">
        <v>0</v>
      </c>
      <c r="H3">
        <v>0.9</v>
      </c>
      <c r="J3" t="s">
        <v>83</v>
      </c>
      <c r="K3" t="s">
        <v>90</v>
      </c>
      <c r="L3" s="46" t="s">
        <v>84</v>
      </c>
      <c r="M3" s="46" t="s">
        <v>101</v>
      </c>
    </row>
    <row r="4" spans="1:13" ht="28.8" x14ac:dyDescent="0.3">
      <c r="A4" s="1">
        <v>3</v>
      </c>
      <c r="B4" s="3">
        <v>0</v>
      </c>
      <c r="C4" s="12" t="s">
        <v>10</v>
      </c>
      <c r="D4" s="12" t="s">
        <v>94</v>
      </c>
      <c r="E4" s="12" t="s">
        <v>14</v>
      </c>
      <c r="F4" s="9">
        <v>0</v>
      </c>
      <c r="G4" s="9">
        <v>3</v>
      </c>
      <c r="H4">
        <v>5.57</v>
      </c>
    </row>
    <row r="5" spans="1:13" ht="28.8" x14ac:dyDescent="0.3">
      <c r="A5" s="1">
        <v>4</v>
      </c>
      <c r="B5" s="3">
        <v>0</v>
      </c>
      <c r="C5" s="12" t="s">
        <v>10</v>
      </c>
      <c r="D5" s="12" t="s">
        <v>15</v>
      </c>
      <c r="E5" s="12" t="s">
        <v>16</v>
      </c>
      <c r="F5" s="9">
        <v>0</v>
      </c>
      <c r="G5" s="9">
        <v>3</v>
      </c>
      <c r="H5">
        <v>5.63</v>
      </c>
      <c r="L5" s="43"/>
    </row>
    <row r="6" spans="1:13" ht="28.8" x14ac:dyDescent="0.3">
      <c r="A6" s="5">
        <v>5</v>
      </c>
      <c r="B6" s="6">
        <v>0</v>
      </c>
      <c r="C6" s="12" t="s">
        <v>10</v>
      </c>
      <c r="D6" s="13" t="s">
        <v>17</v>
      </c>
      <c r="E6" s="13" t="s">
        <v>18</v>
      </c>
      <c r="F6" s="11">
        <v>0</v>
      </c>
      <c r="G6" s="11">
        <v>3</v>
      </c>
      <c r="H6">
        <v>4.92</v>
      </c>
    </row>
    <row r="7" spans="1:13" ht="28.8" x14ac:dyDescent="0.3">
      <c r="A7" t="s">
        <v>19</v>
      </c>
      <c r="B7" s="1">
        <f>SUM(B2:B6)/5</f>
        <v>0</v>
      </c>
      <c r="C7" s="14" t="s">
        <v>10</v>
      </c>
      <c r="D7" t="s">
        <v>20</v>
      </c>
      <c r="F7">
        <f>SUM(F2:F6)/(5-SUM(B2:B6))</f>
        <v>0.2</v>
      </c>
      <c r="G7">
        <f>SUM(G2:G6)/5</f>
        <v>2.4</v>
      </c>
      <c r="H7">
        <f>SUM(H2:H6)/5</f>
        <v>4.008</v>
      </c>
    </row>
    <row r="9" spans="1:13" ht="15" customHeight="1" x14ac:dyDescent="0.3">
      <c r="D9" t="s">
        <v>109</v>
      </c>
      <c r="E9">
        <f>(SUM(B2:B6)+SUM(F2:F6))/5</f>
        <v>0.2</v>
      </c>
    </row>
    <row r="10" spans="1:13" ht="15" customHeight="1" thickBot="1" x14ac:dyDescent="0.35"/>
    <row r="11" spans="1:13" ht="15" customHeight="1" thickBot="1" x14ac:dyDescent="0.35">
      <c r="C11" s="20" t="s">
        <v>5</v>
      </c>
      <c r="D11" s="21" t="s">
        <v>23</v>
      </c>
    </row>
    <row r="12" spans="1:13" ht="29.4" thickBot="1" x14ac:dyDescent="0.35">
      <c r="C12" s="33" t="s">
        <v>10</v>
      </c>
      <c r="D12" s="33" t="s">
        <v>71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5409B-3469-44A8-8450-C6E540090F2D}">
  <dimension ref="A1:L12"/>
  <sheetViews>
    <sheetView workbookViewId="0">
      <selection activeCell="D10" sqref="D10"/>
    </sheetView>
  </sheetViews>
  <sheetFormatPr defaultRowHeight="14.4" x14ac:dyDescent="0.3"/>
  <cols>
    <col min="1" max="1" width="7.5546875" bestFit="1" customWidth="1"/>
    <col min="2" max="2" width="9.6640625" customWidth="1"/>
    <col min="3" max="3" width="53.33203125" customWidth="1"/>
    <col min="4" max="4" width="54.109375" customWidth="1"/>
    <col min="7" max="7" width="9.109375" customWidth="1"/>
    <col min="10" max="10" width="10.21875" customWidth="1"/>
    <col min="11" max="11" width="10.33203125" customWidth="1"/>
  </cols>
  <sheetData>
    <row r="1" spans="1:12" ht="43.2" x14ac:dyDescent="0.3">
      <c r="A1" s="9" t="s">
        <v>21</v>
      </c>
      <c r="B1" s="3" t="s">
        <v>4</v>
      </c>
      <c r="C1" s="3" t="s">
        <v>6</v>
      </c>
      <c r="D1" s="3" t="s">
        <v>7</v>
      </c>
      <c r="E1" s="9" t="s">
        <v>8</v>
      </c>
      <c r="F1" s="9" t="s">
        <v>9</v>
      </c>
      <c r="G1" s="9" t="s">
        <v>79</v>
      </c>
      <c r="J1" s="40" t="s">
        <v>81</v>
      </c>
      <c r="K1" s="40" t="s">
        <v>82</v>
      </c>
      <c r="L1" t="s">
        <v>103</v>
      </c>
    </row>
    <row r="2" spans="1:12" ht="28.8" x14ac:dyDescent="0.3">
      <c r="A2" s="1">
        <v>1</v>
      </c>
      <c r="B2" s="10">
        <v>1</v>
      </c>
      <c r="C2" s="10"/>
      <c r="D2" s="16" t="s">
        <v>96</v>
      </c>
      <c r="E2" s="16">
        <v>0</v>
      </c>
      <c r="F2" s="16">
        <v>0</v>
      </c>
      <c r="G2" s="42">
        <v>1.07</v>
      </c>
      <c r="I2" t="s">
        <v>80</v>
      </c>
      <c r="J2" s="41">
        <f>(Table212[[#This Row],[Time Taken '[min']]]+G4+G6+G5)/4</f>
        <v>1.325</v>
      </c>
      <c r="K2" s="45" t="s">
        <v>90</v>
      </c>
      <c r="L2">
        <f>G7</f>
        <v>1.9940000000000002</v>
      </c>
    </row>
    <row r="3" spans="1:12" ht="43.2" x14ac:dyDescent="0.3">
      <c r="A3" s="1">
        <v>2</v>
      </c>
      <c r="B3" s="10">
        <v>0</v>
      </c>
      <c r="C3" s="10" t="s">
        <v>88</v>
      </c>
      <c r="D3" s="16"/>
      <c r="E3" s="16">
        <v>0</v>
      </c>
      <c r="F3" s="16">
        <v>0</v>
      </c>
      <c r="G3" s="42">
        <v>4.67</v>
      </c>
      <c r="I3" t="s">
        <v>83</v>
      </c>
      <c r="J3" s="46" t="s">
        <v>89</v>
      </c>
      <c r="K3" s="44" t="s">
        <v>90</v>
      </c>
      <c r="L3" s="46" t="s">
        <v>104</v>
      </c>
    </row>
    <row r="4" spans="1:12" ht="28.8" x14ac:dyDescent="0.3">
      <c r="A4" s="1">
        <v>3</v>
      </c>
      <c r="B4" s="10">
        <v>1</v>
      </c>
      <c r="C4" s="10"/>
      <c r="D4" s="16" t="s">
        <v>22</v>
      </c>
      <c r="E4" s="16">
        <v>0</v>
      </c>
      <c r="F4" s="16">
        <v>0</v>
      </c>
      <c r="G4" s="42">
        <v>1.38</v>
      </c>
    </row>
    <row r="5" spans="1:12" ht="28.8" x14ac:dyDescent="0.3">
      <c r="A5" s="1">
        <v>4</v>
      </c>
      <c r="B5" s="10">
        <v>1</v>
      </c>
      <c r="C5" s="10"/>
      <c r="D5" s="16" t="s">
        <v>95</v>
      </c>
      <c r="E5" s="16">
        <v>0</v>
      </c>
      <c r="F5" s="16">
        <v>0</v>
      </c>
      <c r="G5" s="42">
        <v>1.63</v>
      </c>
    </row>
    <row r="6" spans="1:12" ht="28.8" x14ac:dyDescent="0.3">
      <c r="A6" s="5">
        <v>5</v>
      </c>
      <c r="B6" s="17">
        <v>1</v>
      </c>
      <c r="C6" s="17"/>
      <c r="D6" s="16" t="s">
        <v>22</v>
      </c>
      <c r="E6" s="18">
        <v>0</v>
      </c>
      <c r="F6" s="18">
        <v>0</v>
      </c>
      <c r="G6" s="42">
        <v>1.22</v>
      </c>
    </row>
    <row r="7" spans="1:12" x14ac:dyDescent="0.3">
      <c r="A7" t="s">
        <v>19</v>
      </c>
      <c r="B7" s="16">
        <f>SUM(B2:B6)/5</f>
        <v>0.8</v>
      </c>
      <c r="C7" s="16"/>
      <c r="D7" s="19"/>
      <c r="E7" s="16">
        <f>SUM(E2:E6)/(5-SUM(B2:B6))</f>
        <v>0</v>
      </c>
      <c r="F7" s="16">
        <f>SUM(F2:F6)/5</f>
        <v>0</v>
      </c>
      <c r="G7" s="16">
        <f>SUM(G2:G6)/5</f>
        <v>1.9940000000000002</v>
      </c>
    </row>
    <row r="9" spans="1:12" x14ac:dyDescent="0.3">
      <c r="C9" t="s">
        <v>109</v>
      </c>
      <c r="D9">
        <f>(SUM(B2:B6)+SUM(E2:E6))/5</f>
        <v>0.8</v>
      </c>
    </row>
    <row r="10" spans="1:12" x14ac:dyDescent="0.3">
      <c r="A10" s="15"/>
    </row>
    <row r="11" spans="1:12" x14ac:dyDescent="0.3">
      <c r="C11" s="20" t="s">
        <v>5</v>
      </c>
      <c r="D11" s="21" t="s">
        <v>23</v>
      </c>
    </row>
    <row r="12" spans="1:12" ht="43.2" x14ac:dyDescent="0.3">
      <c r="C12" s="22" t="s">
        <v>24</v>
      </c>
      <c r="D12" s="22" t="s">
        <v>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7BDC1-BE70-4B3A-A869-6020BF25D281}">
  <dimension ref="A1:L12"/>
  <sheetViews>
    <sheetView workbookViewId="0">
      <selection activeCell="D10" sqref="D10"/>
    </sheetView>
  </sheetViews>
  <sheetFormatPr defaultRowHeight="14.4" x14ac:dyDescent="0.3"/>
  <cols>
    <col min="1" max="1" width="9.88671875" bestFit="1" customWidth="1"/>
    <col min="2" max="2" width="9.6640625" customWidth="1"/>
    <col min="3" max="3" width="53.33203125" customWidth="1"/>
    <col min="4" max="4" width="54.109375" customWidth="1"/>
    <col min="10" max="10" width="9.77734375" customWidth="1"/>
    <col min="11" max="11" width="10.109375" customWidth="1"/>
  </cols>
  <sheetData>
    <row r="1" spans="1:12" s="2" customFormat="1" ht="43.2" x14ac:dyDescent="0.3">
      <c r="A1" s="9" t="s">
        <v>21</v>
      </c>
      <c r="B1" s="3" t="s">
        <v>4</v>
      </c>
      <c r="C1" s="4" t="s">
        <v>6</v>
      </c>
      <c r="D1" s="4" t="s">
        <v>7</v>
      </c>
      <c r="E1" s="9" t="s">
        <v>8</v>
      </c>
      <c r="F1" s="9" t="s">
        <v>9</v>
      </c>
      <c r="G1" s="12" t="s">
        <v>79</v>
      </c>
      <c r="I1"/>
      <c r="J1" s="40" t="s">
        <v>81</v>
      </c>
      <c r="K1" s="40" t="s">
        <v>82</v>
      </c>
      <c r="L1" s="2" t="s">
        <v>103</v>
      </c>
    </row>
    <row r="2" spans="1:12" ht="28.8" x14ac:dyDescent="0.3">
      <c r="A2" s="1">
        <v>1</v>
      </c>
      <c r="B2" s="3">
        <v>0</v>
      </c>
      <c r="C2" s="10" t="s">
        <v>26</v>
      </c>
      <c r="D2" s="10" t="s">
        <v>27</v>
      </c>
      <c r="E2" s="3">
        <v>1</v>
      </c>
      <c r="F2" s="3">
        <v>3</v>
      </c>
      <c r="G2">
        <v>6.88</v>
      </c>
      <c r="I2" t="s">
        <v>80</v>
      </c>
      <c r="J2" s="41">
        <f>G6</f>
        <v>0.68</v>
      </c>
      <c r="K2" s="45">
        <f>(Table21213[[#This Row],[Time Taken '[min']]]+G3+G4+G5)/4</f>
        <v>3.4975000000000001</v>
      </c>
      <c r="L2">
        <f>G7</f>
        <v>2.9340000000000002</v>
      </c>
    </row>
    <row r="3" spans="1:12" ht="57.6" x14ac:dyDescent="0.3">
      <c r="A3" s="1">
        <v>2</v>
      </c>
      <c r="B3" s="3">
        <v>0</v>
      </c>
      <c r="C3" s="10" t="s">
        <v>28</v>
      </c>
      <c r="D3" s="10" t="s">
        <v>29</v>
      </c>
      <c r="E3" s="3">
        <v>1</v>
      </c>
      <c r="F3" s="3">
        <v>3</v>
      </c>
      <c r="G3">
        <v>2.78</v>
      </c>
      <c r="I3" t="s">
        <v>83</v>
      </c>
      <c r="J3" s="46" t="s">
        <v>85</v>
      </c>
      <c r="K3" s="46" t="s">
        <v>86</v>
      </c>
      <c r="L3" s="46" t="s">
        <v>105</v>
      </c>
    </row>
    <row r="4" spans="1:12" ht="57.6" x14ac:dyDescent="0.3">
      <c r="A4" s="1">
        <v>3</v>
      </c>
      <c r="B4" s="3">
        <v>0</v>
      </c>
      <c r="C4" s="10" t="s">
        <v>30</v>
      </c>
      <c r="D4" s="10" t="s">
        <v>31</v>
      </c>
      <c r="E4" s="3">
        <v>1</v>
      </c>
      <c r="F4" s="3">
        <v>1</v>
      </c>
      <c r="G4">
        <v>1.85</v>
      </c>
    </row>
    <row r="5" spans="1:12" ht="28.8" x14ac:dyDescent="0.3">
      <c r="A5" s="1">
        <v>4</v>
      </c>
      <c r="B5" s="3">
        <v>0</v>
      </c>
      <c r="C5" s="23" t="s">
        <v>26</v>
      </c>
      <c r="D5" s="24" t="s">
        <v>32</v>
      </c>
      <c r="E5" s="3">
        <v>1</v>
      </c>
      <c r="F5" s="3">
        <v>1</v>
      </c>
      <c r="G5">
        <v>2.48</v>
      </c>
    </row>
    <row r="6" spans="1:12" ht="28.8" x14ac:dyDescent="0.3">
      <c r="A6" s="5">
        <v>5</v>
      </c>
      <c r="B6" s="6">
        <v>1</v>
      </c>
      <c r="C6" s="17"/>
      <c r="D6" s="17" t="s">
        <v>33</v>
      </c>
      <c r="E6" s="6">
        <v>0</v>
      </c>
      <c r="F6" s="6">
        <v>0</v>
      </c>
      <c r="G6">
        <v>0.68</v>
      </c>
    </row>
    <row r="7" spans="1:12" x14ac:dyDescent="0.3">
      <c r="A7" t="s">
        <v>19</v>
      </c>
      <c r="B7" s="1">
        <f>SUM(B2:B6)/5</f>
        <v>0.2</v>
      </c>
      <c r="E7">
        <f>SUM(E2:E6)/(5-SUM(B2:B6))</f>
        <v>1</v>
      </c>
      <c r="F7">
        <f>SUM(F2:F6)/5</f>
        <v>1.6</v>
      </c>
      <c r="G7">
        <f>SUM(G2:G6)/5</f>
        <v>2.9340000000000002</v>
      </c>
    </row>
    <row r="9" spans="1:12" x14ac:dyDescent="0.3">
      <c r="C9" t="s">
        <v>109</v>
      </c>
      <c r="D9">
        <f>(SUM(B2:B6)+SUM(E2:E6))/5</f>
        <v>1</v>
      </c>
    </row>
    <row r="11" spans="1:12" x14ac:dyDescent="0.3">
      <c r="C11" s="30" t="s">
        <v>5</v>
      </c>
      <c r="D11" s="21" t="s">
        <v>23</v>
      </c>
    </row>
    <row r="12" spans="1:12" ht="28.8" x14ac:dyDescent="0.3">
      <c r="C12" s="28" t="s">
        <v>34</v>
      </c>
      <c r="D12" s="29" t="s">
        <v>63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8B51-F180-4702-BBD9-EBF9993A8227}">
  <dimension ref="A1:L12"/>
  <sheetViews>
    <sheetView topLeftCell="A5" workbookViewId="0">
      <selection activeCell="D10" sqref="D10"/>
    </sheetView>
  </sheetViews>
  <sheetFormatPr defaultRowHeight="14.4" x14ac:dyDescent="0.3"/>
  <cols>
    <col min="1" max="1" width="7.5546875" bestFit="1" customWidth="1"/>
    <col min="2" max="2" width="9.6640625" customWidth="1"/>
    <col min="3" max="3" width="53.33203125" customWidth="1"/>
    <col min="4" max="4" width="54.109375" customWidth="1"/>
    <col min="10" max="10" width="11.109375" customWidth="1"/>
    <col min="11" max="11" width="10.109375" customWidth="1"/>
  </cols>
  <sheetData>
    <row r="1" spans="1:12" s="3" customFormat="1" ht="43.2" x14ac:dyDescent="0.3">
      <c r="A1" s="9" t="s">
        <v>21</v>
      </c>
      <c r="B1" s="3" t="s">
        <v>4</v>
      </c>
      <c r="C1" s="3" t="s">
        <v>6</v>
      </c>
      <c r="D1" s="3" t="s">
        <v>7</v>
      </c>
      <c r="E1" s="9" t="s">
        <v>8</v>
      </c>
      <c r="F1" s="9" t="s">
        <v>9</v>
      </c>
      <c r="G1" s="9" t="s">
        <v>79</v>
      </c>
      <c r="I1"/>
      <c r="J1" s="40" t="s">
        <v>81</v>
      </c>
      <c r="K1" s="40" t="s">
        <v>82</v>
      </c>
      <c r="L1" s="3" t="s">
        <v>103</v>
      </c>
    </row>
    <row r="2" spans="1:12" ht="86.4" x14ac:dyDescent="0.3">
      <c r="A2" s="1">
        <v>1</v>
      </c>
      <c r="B2" s="3">
        <v>0</v>
      </c>
      <c r="C2" s="10" t="s">
        <v>35</v>
      </c>
      <c r="D2" s="12" t="s">
        <v>36</v>
      </c>
      <c r="E2" s="3">
        <v>1</v>
      </c>
      <c r="F2" s="3">
        <v>1</v>
      </c>
      <c r="G2">
        <v>5.53</v>
      </c>
      <c r="I2" t="s">
        <v>80</v>
      </c>
      <c r="J2" s="41" t="s">
        <v>90</v>
      </c>
      <c r="K2" s="45">
        <f>(Table2121315[[#This Row],[Time Taken '[min']]]+G5)/2</f>
        <v>7.3900000000000006</v>
      </c>
      <c r="L2">
        <f>G7</f>
        <v>7.894000000000001</v>
      </c>
    </row>
    <row r="3" spans="1:12" ht="28.8" x14ac:dyDescent="0.3">
      <c r="A3" s="1">
        <v>2</v>
      </c>
      <c r="B3" s="3">
        <v>0</v>
      </c>
      <c r="C3" s="10" t="s">
        <v>37</v>
      </c>
      <c r="D3" s="10" t="s">
        <v>38</v>
      </c>
      <c r="E3" s="3">
        <v>0</v>
      </c>
      <c r="F3" s="3">
        <v>0</v>
      </c>
      <c r="G3">
        <v>6.57</v>
      </c>
      <c r="I3" t="s">
        <v>83</v>
      </c>
      <c r="J3" s="46" t="s">
        <v>90</v>
      </c>
      <c r="K3" s="46" t="s">
        <v>87</v>
      </c>
      <c r="L3" s="46" t="s">
        <v>106</v>
      </c>
    </row>
    <row r="4" spans="1:12" ht="86.4" x14ac:dyDescent="0.3">
      <c r="A4" s="1">
        <v>3</v>
      </c>
      <c r="B4" s="3">
        <v>0</v>
      </c>
      <c r="C4" s="10" t="s">
        <v>39</v>
      </c>
      <c r="D4" s="10" t="s">
        <v>40</v>
      </c>
      <c r="E4" s="9">
        <v>0</v>
      </c>
      <c r="F4" s="3">
        <v>3</v>
      </c>
      <c r="G4">
        <v>11.42</v>
      </c>
    </row>
    <row r="5" spans="1:12" ht="100.8" x14ac:dyDescent="0.3">
      <c r="A5" s="1">
        <v>4</v>
      </c>
      <c r="B5" s="3">
        <v>0</v>
      </c>
      <c r="C5" s="24" t="s">
        <v>41</v>
      </c>
      <c r="D5" s="10" t="s">
        <v>42</v>
      </c>
      <c r="E5" s="3">
        <v>1</v>
      </c>
      <c r="F5" s="3">
        <v>2</v>
      </c>
      <c r="G5">
        <v>9.25</v>
      </c>
    </row>
    <row r="6" spans="1:12" ht="43.2" x14ac:dyDescent="0.3">
      <c r="A6" s="5">
        <v>5</v>
      </c>
      <c r="B6" s="6">
        <v>0</v>
      </c>
      <c r="C6" s="17" t="s">
        <v>43</v>
      </c>
      <c r="D6" s="17" t="s">
        <v>44</v>
      </c>
      <c r="E6" s="6">
        <v>0</v>
      </c>
      <c r="F6" s="6">
        <v>0</v>
      </c>
      <c r="G6">
        <v>6.7</v>
      </c>
    </row>
    <row r="7" spans="1:12" x14ac:dyDescent="0.3">
      <c r="A7" t="s">
        <v>19</v>
      </c>
      <c r="B7" s="1">
        <f>SUM(B2:B6)/5</f>
        <v>0</v>
      </c>
      <c r="E7">
        <f>SUM(E2:E6)/(5-SUM(B2:B6))</f>
        <v>0.4</v>
      </c>
      <c r="F7">
        <f>SUM(F2:F6)/5</f>
        <v>1.2</v>
      </c>
      <c r="G7">
        <f>SUM(G2:G6)/5</f>
        <v>7.894000000000001</v>
      </c>
    </row>
    <row r="9" spans="1:12" x14ac:dyDescent="0.3">
      <c r="C9" t="s">
        <v>109</v>
      </c>
      <c r="D9">
        <f>(SUM(B2:B6)+SUM(E2:E6))/5</f>
        <v>0.4</v>
      </c>
    </row>
    <row r="11" spans="1:12" x14ac:dyDescent="0.3">
      <c r="C11" s="27" t="s">
        <v>5</v>
      </c>
      <c r="D11" s="21" t="s">
        <v>23</v>
      </c>
    </row>
    <row r="12" spans="1:12" ht="28.8" x14ac:dyDescent="0.3">
      <c r="C12" s="25" t="s">
        <v>45</v>
      </c>
      <c r="D12" s="26" t="s">
        <v>97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2C0F8-FF02-4A3D-B533-F6447CE5B72A}">
  <dimension ref="A1:L12"/>
  <sheetViews>
    <sheetView workbookViewId="0">
      <selection activeCell="D10" sqref="D10"/>
    </sheetView>
  </sheetViews>
  <sheetFormatPr defaultRowHeight="14.4" x14ac:dyDescent="0.3"/>
  <cols>
    <col min="1" max="1" width="7.5546875" bestFit="1" customWidth="1"/>
    <col min="2" max="2" width="9.6640625" customWidth="1"/>
    <col min="3" max="3" width="53.33203125" customWidth="1"/>
    <col min="4" max="4" width="54.109375" customWidth="1"/>
    <col min="7" max="7" width="10.109375" customWidth="1"/>
    <col min="10" max="10" width="9.88671875" customWidth="1"/>
    <col min="11" max="11" width="10.21875" customWidth="1"/>
  </cols>
  <sheetData>
    <row r="1" spans="1:12" s="2" customFormat="1" ht="43.2" x14ac:dyDescent="0.3">
      <c r="A1" s="9" t="s">
        <v>21</v>
      </c>
      <c r="B1" s="3" t="s">
        <v>4</v>
      </c>
      <c r="C1" s="4" t="s">
        <v>6</v>
      </c>
      <c r="D1" s="4" t="s">
        <v>7</v>
      </c>
      <c r="E1" s="9" t="s">
        <v>8</v>
      </c>
      <c r="F1" s="9" t="s">
        <v>9</v>
      </c>
      <c r="G1" s="12" t="s">
        <v>79</v>
      </c>
      <c r="I1"/>
      <c r="J1" s="40" t="s">
        <v>81</v>
      </c>
      <c r="K1" s="40" t="s">
        <v>82</v>
      </c>
      <c r="L1" s="2" t="s">
        <v>103</v>
      </c>
    </row>
    <row r="2" spans="1:12" ht="43.2" x14ac:dyDescent="0.3">
      <c r="A2" s="1">
        <v>1</v>
      </c>
      <c r="B2" s="3">
        <v>0</v>
      </c>
      <c r="C2" s="10" t="s">
        <v>47</v>
      </c>
      <c r="D2" s="10" t="s">
        <v>48</v>
      </c>
      <c r="E2" s="3">
        <v>0</v>
      </c>
      <c r="F2" s="3">
        <v>0</v>
      </c>
      <c r="G2">
        <v>1.05</v>
      </c>
      <c r="I2" t="s">
        <v>80</v>
      </c>
      <c r="J2" s="41" t="s">
        <v>90</v>
      </c>
      <c r="K2" s="45" t="s">
        <v>90</v>
      </c>
      <c r="L2">
        <f>G7</f>
        <v>1.4359999999999999</v>
      </c>
    </row>
    <row r="3" spans="1:12" ht="57.6" x14ac:dyDescent="0.3">
      <c r="A3" s="1">
        <v>2</v>
      </c>
      <c r="B3" s="3">
        <v>0</v>
      </c>
      <c r="C3" s="10" t="s">
        <v>49</v>
      </c>
      <c r="D3" s="32" t="s">
        <v>50</v>
      </c>
      <c r="E3" s="3">
        <v>0</v>
      </c>
      <c r="F3" s="3">
        <v>0</v>
      </c>
      <c r="G3">
        <v>0.73</v>
      </c>
      <c r="I3" t="s">
        <v>83</v>
      </c>
      <c r="J3" s="46" t="s">
        <v>90</v>
      </c>
      <c r="K3" s="46" t="s">
        <v>90</v>
      </c>
      <c r="L3" s="46" t="s">
        <v>107</v>
      </c>
    </row>
    <row r="4" spans="1:12" ht="57.6" x14ac:dyDescent="0.3">
      <c r="A4" s="1">
        <v>3</v>
      </c>
      <c r="B4" s="3">
        <v>0</v>
      </c>
      <c r="C4" s="10" t="s">
        <v>51</v>
      </c>
      <c r="D4" s="4"/>
      <c r="E4" s="3">
        <v>0</v>
      </c>
      <c r="F4" s="3">
        <v>0</v>
      </c>
      <c r="G4">
        <v>0.73</v>
      </c>
    </row>
    <row r="5" spans="1:12" ht="43.2" x14ac:dyDescent="0.3">
      <c r="A5" s="1">
        <v>4</v>
      </c>
      <c r="B5" s="3">
        <v>0</v>
      </c>
      <c r="C5" s="10" t="s">
        <v>52</v>
      </c>
      <c r="D5" s="4"/>
      <c r="E5" s="3">
        <v>0</v>
      </c>
      <c r="F5" s="3">
        <v>0</v>
      </c>
      <c r="G5">
        <v>3.95</v>
      </c>
    </row>
    <row r="6" spans="1:12" ht="43.2" x14ac:dyDescent="0.3">
      <c r="A6" s="5">
        <v>5</v>
      </c>
      <c r="B6" s="6">
        <v>0</v>
      </c>
      <c r="C6" s="17" t="s">
        <v>53</v>
      </c>
      <c r="D6" s="31"/>
      <c r="E6" s="6">
        <v>0</v>
      </c>
      <c r="F6" s="6">
        <v>0</v>
      </c>
      <c r="G6">
        <v>0.72</v>
      </c>
    </row>
    <row r="7" spans="1:12" x14ac:dyDescent="0.3">
      <c r="A7" t="s">
        <v>19</v>
      </c>
      <c r="B7" s="8">
        <f>SUM(B2:B6)/5</f>
        <v>0</v>
      </c>
      <c r="E7">
        <f>SUM(E2:E6)/(5-SUM(B2:B6))</f>
        <v>0</v>
      </c>
      <c r="F7">
        <f>SUM(F2:F6)/5</f>
        <v>0</v>
      </c>
      <c r="G7">
        <f>SUM(G2:G6)/5</f>
        <v>1.4359999999999999</v>
      </c>
    </row>
    <row r="9" spans="1:12" x14ac:dyDescent="0.3">
      <c r="C9" t="s">
        <v>109</v>
      </c>
      <c r="D9">
        <f>(SUM(B2:B6)+SUM(E2:E6))/5</f>
        <v>0</v>
      </c>
    </row>
    <row r="11" spans="1:12" x14ac:dyDescent="0.3">
      <c r="C11" s="27" t="s">
        <v>5</v>
      </c>
      <c r="D11" s="21" t="s">
        <v>23</v>
      </c>
    </row>
    <row r="12" spans="1:12" x14ac:dyDescent="0.3">
      <c r="C12" s="25" t="s">
        <v>54</v>
      </c>
      <c r="D12" s="26" t="s">
        <v>55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06500-ADF2-4671-9E98-12801D5CE2E2}">
  <dimension ref="A1:M12"/>
  <sheetViews>
    <sheetView topLeftCell="A4" zoomScaleNormal="100" workbookViewId="0">
      <selection activeCell="D10" sqref="D10"/>
    </sheetView>
  </sheetViews>
  <sheetFormatPr defaultRowHeight="14.4" x14ac:dyDescent="0.3"/>
  <cols>
    <col min="1" max="1" width="7.5546875" bestFit="1" customWidth="1"/>
    <col min="2" max="2" width="9.6640625" customWidth="1"/>
    <col min="3" max="3" width="53.33203125" customWidth="1"/>
    <col min="4" max="4" width="54.109375" customWidth="1"/>
    <col min="5" max="5" width="10.33203125" customWidth="1"/>
    <col min="6" max="6" width="10" customWidth="1"/>
    <col min="10" max="10" width="10.109375" customWidth="1"/>
    <col min="11" max="11" width="10.33203125" customWidth="1"/>
  </cols>
  <sheetData>
    <row r="1" spans="1:13" ht="43.2" x14ac:dyDescent="0.3">
      <c r="A1" s="9" t="s">
        <v>21</v>
      </c>
      <c r="B1" s="3" t="s">
        <v>4</v>
      </c>
      <c r="C1" s="2" t="s">
        <v>6</v>
      </c>
      <c r="D1" s="3" t="s">
        <v>7</v>
      </c>
      <c r="E1" s="9" t="s">
        <v>8</v>
      </c>
      <c r="F1" s="9" t="s">
        <v>9</v>
      </c>
      <c r="G1" s="9" t="s">
        <v>79</v>
      </c>
      <c r="J1" s="40" t="s">
        <v>81</v>
      </c>
      <c r="K1" s="40" t="s">
        <v>82</v>
      </c>
      <c r="L1" t="s">
        <v>103</v>
      </c>
    </row>
    <row r="2" spans="1:13" ht="144" x14ac:dyDescent="0.3">
      <c r="A2" s="1">
        <v>1</v>
      </c>
      <c r="B2" s="3">
        <v>0</v>
      </c>
      <c r="C2" s="12" t="s">
        <v>56</v>
      </c>
      <c r="E2">
        <v>0</v>
      </c>
      <c r="F2">
        <v>3</v>
      </c>
      <c r="G2">
        <v>24.03</v>
      </c>
      <c r="I2" t="s">
        <v>80</v>
      </c>
      <c r="J2" s="41" t="s">
        <v>90</v>
      </c>
      <c r="K2" s="45" t="s">
        <v>90</v>
      </c>
      <c r="L2">
        <f>G7</f>
        <v>13.417999999999997</v>
      </c>
    </row>
    <row r="3" spans="1:13" ht="72" x14ac:dyDescent="0.3">
      <c r="A3" s="1">
        <v>2</v>
      </c>
      <c r="B3" s="3">
        <v>0</v>
      </c>
      <c r="C3" s="12" t="s">
        <v>57</v>
      </c>
      <c r="E3">
        <v>0</v>
      </c>
      <c r="F3">
        <v>3</v>
      </c>
      <c r="G3">
        <v>10.55</v>
      </c>
      <c r="I3" t="s">
        <v>83</v>
      </c>
      <c r="J3" s="46" t="s">
        <v>90</v>
      </c>
      <c r="K3" s="46" t="s">
        <v>90</v>
      </c>
      <c r="L3" s="46" t="s">
        <v>108</v>
      </c>
    </row>
    <row r="4" spans="1:13" ht="86.4" x14ac:dyDescent="0.3">
      <c r="A4" s="1">
        <v>3</v>
      </c>
      <c r="B4" s="3">
        <v>0</v>
      </c>
      <c r="C4" s="12" t="s">
        <v>58</v>
      </c>
      <c r="E4">
        <v>0</v>
      </c>
      <c r="F4">
        <v>1</v>
      </c>
      <c r="G4">
        <v>3.55</v>
      </c>
    </row>
    <row r="5" spans="1:13" ht="28.8" x14ac:dyDescent="0.3">
      <c r="A5" s="1">
        <v>4</v>
      </c>
      <c r="B5" s="3">
        <v>0</v>
      </c>
      <c r="C5" s="12" t="s">
        <v>59</v>
      </c>
      <c r="E5">
        <v>0</v>
      </c>
      <c r="F5">
        <v>3</v>
      </c>
      <c r="G5">
        <v>13.58</v>
      </c>
      <c r="M5">
        <f>0.41*60</f>
        <v>24.599999999999998</v>
      </c>
    </row>
    <row r="6" spans="1:13" ht="101.4" thickBot="1" x14ac:dyDescent="0.35">
      <c r="A6" s="5">
        <v>5</v>
      </c>
      <c r="B6" s="6">
        <v>0</v>
      </c>
      <c r="C6" s="13" t="s">
        <v>60</v>
      </c>
      <c r="D6" s="7"/>
      <c r="E6" s="7">
        <v>0</v>
      </c>
      <c r="F6" s="7">
        <v>3</v>
      </c>
      <c r="G6" s="7">
        <v>15.38</v>
      </c>
    </row>
    <row r="7" spans="1:13" x14ac:dyDescent="0.3">
      <c r="A7" t="s">
        <v>19</v>
      </c>
      <c r="B7" s="8">
        <f>SUM(B2:B6)/5</f>
        <v>0</v>
      </c>
      <c r="E7">
        <f>SUM(E2:E6)/(5-SUM(B2:B6))</f>
        <v>0</v>
      </c>
      <c r="F7">
        <f>SUM(F2:F6)/5</f>
        <v>2.6</v>
      </c>
      <c r="G7">
        <f>SUM(G2:G6)/5</f>
        <v>13.417999999999997</v>
      </c>
    </row>
    <row r="8" spans="1:13" x14ac:dyDescent="0.3">
      <c r="B8" s="8"/>
    </row>
    <row r="9" spans="1:13" x14ac:dyDescent="0.3">
      <c r="C9" t="s">
        <v>109</v>
      </c>
      <c r="D9">
        <f>(SUM(B2:B6)+SUM(E2:E6))/5</f>
        <v>0</v>
      </c>
    </row>
    <row r="11" spans="1:13" ht="15" thickBot="1" x14ac:dyDescent="0.35">
      <c r="C11" s="27" t="s">
        <v>5</v>
      </c>
      <c r="D11" s="21" t="s">
        <v>23</v>
      </c>
    </row>
    <row r="12" spans="1:13" ht="29.4" thickBot="1" x14ac:dyDescent="0.35">
      <c r="C12" s="33" t="s">
        <v>61</v>
      </c>
      <c r="D12" s="26" t="s">
        <v>62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System Test</vt:lpstr>
      <vt:lpstr>Sheet1</vt:lpstr>
      <vt:lpstr>Push Box</vt:lpstr>
      <vt:lpstr>Move Bottle</vt:lpstr>
      <vt:lpstr>Pick Up Screwdriver</vt:lpstr>
      <vt:lpstr>Switch Fruit</vt:lpstr>
      <vt:lpstr>Pick Up w Obstacles</vt:lpstr>
      <vt:lpstr>Sort Fruits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Thor Kryhlmand Iversen</dc:creator>
  <cp:keywords/>
  <dc:description/>
  <cp:lastModifiedBy>Thor Kryhlmand Iversen</cp:lastModifiedBy>
  <cp:revision/>
  <dcterms:created xsi:type="dcterms:W3CDTF">2025-05-02T11:46:21Z</dcterms:created>
  <dcterms:modified xsi:type="dcterms:W3CDTF">2025-05-23T08:58:50Z</dcterms:modified>
  <cp:category/>
  <cp:contentStatus/>
</cp:coreProperties>
</file>